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youss\Desktop\Projet ST7\sia_efficacity_projet_st7\"/>
    </mc:Choice>
  </mc:AlternateContent>
  <xr:revisionPtr revIDLastSave="0" documentId="13_ncr:1_{AF445979-E988-49C1-95AD-77881C9CF07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  <sheet name="Feuil1" sheetId="2" r:id="rId2"/>
  </sheets>
  <definedNames>
    <definedName name="_xlnm._FilterDatabase" localSheetId="0" hidden="1">Sheet1!$A$1:$AG$862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3" i="1" l="1"/>
  <c r="AH4" i="1"/>
  <c r="AH5" i="1"/>
  <c r="AH6" i="1"/>
  <c r="AH7" i="1"/>
  <c r="AH8" i="1"/>
  <c r="AH9" i="1"/>
  <c r="AH10" i="1"/>
  <c r="AH11" i="1"/>
  <c r="AH12" i="1"/>
  <c r="AH13" i="1"/>
  <c r="AH14" i="1"/>
  <c r="AH15" i="1"/>
  <c r="AH16" i="1"/>
  <c r="AH17" i="1"/>
  <c r="AH18" i="1"/>
  <c r="AH19" i="1"/>
  <c r="AH20" i="1"/>
  <c r="AH21" i="1"/>
  <c r="AH22" i="1"/>
  <c r="AH23" i="1"/>
  <c r="AH24" i="1"/>
  <c r="AH25" i="1"/>
  <c r="AH26" i="1"/>
  <c r="AH27" i="1"/>
  <c r="AH28" i="1"/>
  <c r="AH29" i="1"/>
  <c r="AH30" i="1"/>
  <c r="AH31" i="1"/>
  <c r="AH32" i="1"/>
  <c r="AH33" i="1"/>
  <c r="AH34" i="1"/>
  <c r="AH35" i="1"/>
  <c r="AH36" i="1"/>
  <c r="AH37" i="1"/>
  <c r="AH38" i="1"/>
  <c r="AH39" i="1"/>
  <c r="AH40" i="1"/>
  <c r="AH41" i="1"/>
  <c r="AH42" i="1"/>
  <c r="AH43" i="1"/>
  <c r="AH44" i="1"/>
  <c r="AH45" i="1"/>
  <c r="AH46" i="1"/>
  <c r="AH47" i="1"/>
  <c r="AH48" i="1"/>
  <c r="AH49" i="1"/>
  <c r="AH50" i="1"/>
  <c r="AH51" i="1"/>
  <c r="AH52" i="1"/>
  <c r="AH53" i="1"/>
  <c r="AH54" i="1"/>
  <c r="AH55" i="1"/>
  <c r="AH56" i="1"/>
  <c r="AH57" i="1"/>
  <c r="AH58" i="1"/>
  <c r="AH59" i="1"/>
  <c r="AH60" i="1"/>
  <c r="AH61" i="1"/>
  <c r="AH62" i="1"/>
  <c r="AH63" i="1"/>
  <c r="AH64" i="1"/>
  <c r="AH65" i="1"/>
  <c r="AH66" i="1"/>
  <c r="AH67" i="1"/>
  <c r="AH68" i="1"/>
  <c r="AH69" i="1"/>
  <c r="AH70" i="1"/>
  <c r="AH71" i="1"/>
  <c r="AH72" i="1"/>
  <c r="AH73" i="1"/>
  <c r="AH74" i="1"/>
  <c r="AH75" i="1"/>
  <c r="AH76" i="1"/>
  <c r="AH77" i="1"/>
  <c r="AH78" i="1"/>
  <c r="AH79" i="1"/>
  <c r="AH80" i="1"/>
  <c r="AH81" i="1"/>
  <c r="AH82" i="1"/>
  <c r="AH83" i="1"/>
  <c r="AH84" i="1"/>
  <c r="AH85" i="1"/>
  <c r="AH86" i="1"/>
  <c r="AH87" i="1"/>
  <c r="AH88" i="1"/>
  <c r="AH89" i="1"/>
  <c r="AH90" i="1"/>
  <c r="AH91" i="1"/>
  <c r="AH92" i="1"/>
  <c r="AH93" i="1"/>
  <c r="AH94" i="1"/>
  <c r="AH95" i="1"/>
  <c r="AH96" i="1"/>
  <c r="AH97" i="1"/>
  <c r="AH98" i="1"/>
  <c r="AH99" i="1"/>
  <c r="AH100" i="1"/>
  <c r="AH101" i="1"/>
  <c r="AH102" i="1"/>
  <c r="AH103" i="1"/>
  <c r="AH104" i="1"/>
  <c r="AH105" i="1"/>
  <c r="AH106" i="1"/>
  <c r="AH107" i="1"/>
  <c r="AH108" i="1"/>
  <c r="AH109" i="1"/>
  <c r="AH110" i="1"/>
  <c r="AH111" i="1"/>
  <c r="AH112" i="1"/>
  <c r="AH113" i="1"/>
  <c r="AH114" i="1"/>
  <c r="AH115" i="1"/>
  <c r="AH116" i="1"/>
  <c r="AH117" i="1"/>
  <c r="AH118" i="1"/>
  <c r="AH119" i="1"/>
  <c r="AH120" i="1"/>
  <c r="AH121" i="1"/>
  <c r="AH122" i="1"/>
  <c r="AH123" i="1"/>
  <c r="AH124" i="1"/>
  <c r="AH125" i="1"/>
  <c r="AH126" i="1"/>
  <c r="AH127" i="1"/>
  <c r="AH128" i="1"/>
  <c r="AH129" i="1"/>
  <c r="AH130" i="1"/>
  <c r="AH131" i="1"/>
  <c r="AH132" i="1"/>
  <c r="AH133" i="1"/>
  <c r="AH134" i="1"/>
  <c r="AH135" i="1"/>
  <c r="AH136" i="1"/>
  <c r="AH137" i="1"/>
  <c r="AH138" i="1"/>
  <c r="AH139" i="1"/>
  <c r="AH140" i="1"/>
  <c r="AH141" i="1"/>
  <c r="AH142" i="1"/>
  <c r="AH143" i="1"/>
  <c r="AH144" i="1"/>
  <c r="AH145" i="1"/>
  <c r="AH146" i="1"/>
  <c r="AH147" i="1"/>
  <c r="AH148" i="1"/>
  <c r="AH149" i="1"/>
  <c r="AH150" i="1"/>
  <c r="AH151" i="1"/>
  <c r="AH152" i="1"/>
  <c r="AH153" i="1"/>
  <c r="AH154" i="1"/>
  <c r="AH155" i="1"/>
  <c r="AH156" i="1"/>
  <c r="AH157" i="1"/>
  <c r="AH158" i="1"/>
  <c r="AH159" i="1"/>
  <c r="AH160" i="1"/>
  <c r="AH161" i="1"/>
  <c r="AH162" i="1"/>
  <c r="AH163" i="1"/>
  <c r="AH164" i="1"/>
  <c r="AH165" i="1"/>
  <c r="AH166" i="1"/>
  <c r="AH167" i="1"/>
  <c r="AH168" i="1"/>
  <c r="AH169" i="1"/>
  <c r="AH170" i="1"/>
  <c r="AH171" i="1"/>
  <c r="AH172" i="1"/>
  <c r="AH173" i="1"/>
  <c r="AH174" i="1"/>
  <c r="AH175" i="1"/>
  <c r="AH176" i="1"/>
  <c r="AH177" i="1"/>
  <c r="AH178" i="1"/>
  <c r="AH179" i="1"/>
  <c r="AH180" i="1"/>
  <c r="AH181" i="1"/>
  <c r="AH182" i="1"/>
  <c r="AH183" i="1"/>
  <c r="AH184" i="1"/>
  <c r="AH185" i="1"/>
  <c r="AH186" i="1"/>
  <c r="AH187" i="1"/>
  <c r="AH188" i="1"/>
  <c r="AH189" i="1"/>
  <c r="AH190" i="1"/>
  <c r="AH191" i="1"/>
  <c r="AH192" i="1"/>
  <c r="AH193" i="1"/>
  <c r="AH194" i="1"/>
  <c r="AH195" i="1"/>
  <c r="AH196" i="1"/>
  <c r="AH197" i="1"/>
  <c r="AH198" i="1"/>
  <c r="AH199" i="1"/>
  <c r="AH200" i="1"/>
  <c r="AH201" i="1"/>
  <c r="AH202" i="1"/>
  <c r="AH203" i="1"/>
  <c r="AH204" i="1"/>
  <c r="AH205" i="1"/>
  <c r="AH206" i="1"/>
  <c r="AH207" i="1"/>
  <c r="AH208" i="1"/>
  <c r="AH209" i="1"/>
  <c r="AH210" i="1"/>
  <c r="AH211" i="1"/>
  <c r="AH212" i="1"/>
  <c r="AH213" i="1"/>
  <c r="AH214" i="1"/>
  <c r="AH215" i="1"/>
  <c r="AH216" i="1"/>
  <c r="AH217" i="1"/>
  <c r="AH218" i="1"/>
  <c r="AH219" i="1"/>
  <c r="AH220" i="1"/>
  <c r="AH221" i="1"/>
  <c r="AH222" i="1"/>
  <c r="AH223" i="1"/>
  <c r="AH224" i="1"/>
  <c r="AH225" i="1"/>
  <c r="AH226" i="1"/>
  <c r="AH227" i="1"/>
  <c r="AH228" i="1"/>
  <c r="AH229" i="1"/>
  <c r="AH230" i="1"/>
  <c r="AH231" i="1"/>
  <c r="AH232" i="1"/>
  <c r="AH233" i="1"/>
  <c r="AH234" i="1"/>
  <c r="AH235" i="1"/>
  <c r="AH236" i="1"/>
  <c r="AH237" i="1"/>
  <c r="AH238" i="1"/>
  <c r="AH239" i="1"/>
  <c r="AH240" i="1"/>
  <c r="AH241" i="1"/>
  <c r="AH242" i="1"/>
  <c r="AH243" i="1"/>
  <c r="AH244" i="1"/>
  <c r="AH245" i="1"/>
  <c r="AH246" i="1"/>
  <c r="AH247" i="1"/>
  <c r="AH248" i="1"/>
  <c r="AH249" i="1"/>
  <c r="AH250" i="1"/>
  <c r="AH251" i="1"/>
  <c r="AH252" i="1"/>
  <c r="AH253" i="1"/>
  <c r="AH254" i="1"/>
  <c r="AH255" i="1"/>
  <c r="AH256" i="1"/>
  <c r="AH257" i="1"/>
  <c r="AH258" i="1"/>
  <c r="AH259" i="1"/>
  <c r="AH260" i="1"/>
  <c r="AH261" i="1"/>
  <c r="AH262" i="1"/>
  <c r="AH263" i="1"/>
  <c r="AH264" i="1"/>
  <c r="AH265" i="1"/>
  <c r="AH266" i="1"/>
  <c r="AH267" i="1"/>
  <c r="AH268" i="1"/>
  <c r="AH269" i="1"/>
  <c r="AH270" i="1"/>
  <c r="AH271" i="1"/>
  <c r="AH272" i="1"/>
  <c r="AH273" i="1"/>
  <c r="AH274" i="1"/>
  <c r="AH275" i="1"/>
  <c r="AH276" i="1"/>
  <c r="AH277" i="1"/>
  <c r="AH278" i="1"/>
  <c r="AH279" i="1"/>
  <c r="AH280" i="1"/>
  <c r="AH281" i="1"/>
  <c r="AH282" i="1"/>
  <c r="AH283" i="1"/>
  <c r="AH284" i="1"/>
  <c r="AH285" i="1"/>
  <c r="AH286" i="1"/>
  <c r="AH287" i="1"/>
  <c r="AH288" i="1"/>
  <c r="AH289" i="1"/>
  <c r="AH290" i="1"/>
  <c r="AH291" i="1"/>
  <c r="AH292" i="1"/>
  <c r="AH293" i="1"/>
  <c r="AH294" i="1"/>
  <c r="AH295" i="1"/>
  <c r="AH296" i="1"/>
  <c r="AH297" i="1"/>
  <c r="AH298" i="1"/>
  <c r="AH299" i="1"/>
  <c r="AH300" i="1"/>
  <c r="AH301" i="1"/>
  <c r="AH302" i="1"/>
  <c r="AH303" i="1"/>
  <c r="AH304" i="1"/>
  <c r="AH305" i="1"/>
  <c r="AH306" i="1"/>
  <c r="AH307" i="1"/>
  <c r="AH308" i="1"/>
  <c r="AH309" i="1"/>
  <c r="AH310" i="1"/>
  <c r="AH311" i="1"/>
  <c r="AH312" i="1"/>
  <c r="AH313" i="1"/>
  <c r="AH314" i="1"/>
  <c r="AH315" i="1"/>
  <c r="AH316" i="1"/>
  <c r="AH317" i="1"/>
  <c r="AH318" i="1"/>
  <c r="AH319" i="1"/>
  <c r="AH320" i="1"/>
  <c r="AH321" i="1"/>
  <c r="AH322" i="1"/>
  <c r="AH323" i="1"/>
  <c r="AH324" i="1"/>
  <c r="AH325" i="1"/>
  <c r="AH326" i="1"/>
  <c r="AH327" i="1"/>
  <c r="AH328" i="1"/>
  <c r="AH329" i="1"/>
  <c r="AH330" i="1"/>
  <c r="AH331" i="1"/>
  <c r="AH332" i="1"/>
  <c r="AH333" i="1"/>
  <c r="AH334" i="1"/>
  <c r="AH335" i="1"/>
  <c r="AH336" i="1"/>
  <c r="AH337" i="1"/>
  <c r="AH338" i="1"/>
  <c r="AH339" i="1"/>
  <c r="AH340" i="1"/>
  <c r="AH341" i="1"/>
  <c r="AH342" i="1"/>
  <c r="AH343" i="1"/>
  <c r="AH344" i="1"/>
  <c r="AH345" i="1"/>
  <c r="AH346" i="1"/>
  <c r="AH347" i="1"/>
  <c r="AH348" i="1"/>
  <c r="AH349" i="1"/>
  <c r="AH350" i="1"/>
  <c r="AH351" i="1"/>
  <c r="AH352" i="1"/>
  <c r="AH353" i="1"/>
  <c r="AH354" i="1"/>
  <c r="AH355" i="1"/>
  <c r="AH356" i="1"/>
  <c r="AH357" i="1"/>
  <c r="AH358" i="1"/>
  <c r="AH359" i="1"/>
  <c r="AH360" i="1"/>
  <c r="AH361" i="1"/>
  <c r="AH362" i="1"/>
  <c r="AH363" i="1"/>
  <c r="AH364" i="1"/>
  <c r="AH365" i="1"/>
  <c r="AH366" i="1"/>
  <c r="AH367" i="1"/>
  <c r="AH368" i="1"/>
  <c r="AH369" i="1"/>
  <c r="AH370" i="1"/>
  <c r="AH371" i="1"/>
  <c r="AH372" i="1"/>
  <c r="AH373" i="1"/>
  <c r="AH374" i="1"/>
  <c r="AH375" i="1"/>
  <c r="AH376" i="1"/>
  <c r="AH377" i="1"/>
  <c r="AH378" i="1"/>
  <c r="AH379" i="1"/>
  <c r="AH380" i="1"/>
  <c r="AH381" i="1"/>
  <c r="AH382" i="1"/>
  <c r="AH383" i="1"/>
  <c r="AH384" i="1"/>
  <c r="AH385" i="1"/>
  <c r="AH386" i="1"/>
  <c r="AH387" i="1"/>
  <c r="AH388" i="1"/>
  <c r="AH389" i="1"/>
  <c r="AH390" i="1"/>
  <c r="AH391" i="1"/>
  <c r="AH392" i="1"/>
  <c r="AH393" i="1"/>
  <c r="AH394" i="1"/>
  <c r="AH395" i="1"/>
  <c r="AH396" i="1"/>
  <c r="AH397" i="1"/>
  <c r="AH398" i="1"/>
  <c r="AH399" i="1"/>
  <c r="AH400" i="1"/>
  <c r="AH401" i="1"/>
  <c r="AH402" i="1"/>
  <c r="AH403" i="1"/>
  <c r="AH404" i="1"/>
  <c r="AH405" i="1"/>
  <c r="AH406" i="1"/>
  <c r="AH407" i="1"/>
  <c r="AH408" i="1"/>
  <c r="AH409" i="1"/>
  <c r="AH410" i="1"/>
  <c r="AH411" i="1"/>
  <c r="AH412" i="1"/>
  <c r="AH413" i="1"/>
  <c r="AH414" i="1"/>
  <c r="AH415" i="1"/>
  <c r="AH416" i="1"/>
  <c r="AH417" i="1"/>
  <c r="AH418" i="1"/>
  <c r="AH419" i="1"/>
  <c r="AH420" i="1"/>
  <c r="AH421" i="1"/>
  <c r="AH422" i="1"/>
  <c r="AH423" i="1"/>
  <c r="AH424" i="1"/>
  <c r="AH425" i="1"/>
  <c r="AH426" i="1"/>
  <c r="AH427" i="1"/>
  <c r="AH428" i="1"/>
  <c r="AH429" i="1"/>
  <c r="AH430" i="1"/>
  <c r="AH431" i="1"/>
  <c r="AH432" i="1"/>
  <c r="AH433" i="1"/>
  <c r="AH434" i="1"/>
  <c r="AH435" i="1"/>
  <c r="AH436" i="1"/>
  <c r="AH437" i="1"/>
  <c r="AH438" i="1"/>
  <c r="AH439" i="1"/>
  <c r="AH440" i="1"/>
  <c r="AH441" i="1"/>
  <c r="AH442" i="1"/>
  <c r="AH443" i="1"/>
  <c r="AH444" i="1"/>
  <c r="AH445" i="1"/>
  <c r="AH446" i="1"/>
  <c r="AH447" i="1"/>
  <c r="AH448" i="1"/>
  <c r="AH449" i="1"/>
  <c r="AH450" i="1"/>
  <c r="AH451" i="1"/>
  <c r="AH452" i="1"/>
  <c r="AH453" i="1"/>
  <c r="AH454" i="1"/>
  <c r="AH455" i="1"/>
  <c r="AH456" i="1"/>
  <c r="AH457" i="1"/>
  <c r="AH458" i="1"/>
  <c r="AH459" i="1"/>
  <c r="AH460" i="1"/>
  <c r="AH461" i="1"/>
  <c r="AH462" i="1"/>
  <c r="AH463" i="1"/>
  <c r="AH464" i="1"/>
  <c r="AH465" i="1"/>
  <c r="AH466" i="1"/>
  <c r="AH467" i="1"/>
  <c r="AH468" i="1"/>
  <c r="AH469" i="1"/>
  <c r="AH470" i="1"/>
  <c r="AH471" i="1"/>
  <c r="AH472" i="1"/>
  <c r="AH473" i="1"/>
  <c r="AH474" i="1"/>
  <c r="AH475" i="1"/>
  <c r="AH476" i="1"/>
  <c r="AH477" i="1"/>
  <c r="AH478" i="1"/>
  <c r="AH479" i="1"/>
  <c r="AH480" i="1"/>
  <c r="AH481" i="1"/>
  <c r="AH482" i="1"/>
  <c r="AH483" i="1"/>
  <c r="AH484" i="1"/>
  <c r="AH485" i="1"/>
  <c r="AH486" i="1"/>
  <c r="AH487" i="1"/>
  <c r="AH488" i="1"/>
  <c r="AH489" i="1"/>
  <c r="AH490" i="1"/>
  <c r="AH491" i="1"/>
  <c r="AH492" i="1"/>
  <c r="AH493" i="1"/>
  <c r="AH494" i="1"/>
  <c r="AH495" i="1"/>
  <c r="AH496" i="1"/>
  <c r="AH497" i="1"/>
  <c r="AH498" i="1"/>
  <c r="AH499" i="1"/>
  <c r="AH500" i="1"/>
  <c r="AH501" i="1"/>
  <c r="AH502" i="1"/>
  <c r="AH503" i="1"/>
  <c r="AH504" i="1"/>
  <c r="AH505" i="1"/>
  <c r="AH506" i="1"/>
  <c r="AH507" i="1"/>
  <c r="AH508" i="1"/>
  <c r="AH509" i="1"/>
  <c r="AH510" i="1"/>
  <c r="AH511" i="1"/>
  <c r="AH512" i="1"/>
  <c r="AH513" i="1"/>
  <c r="AH514" i="1"/>
  <c r="AH515" i="1"/>
  <c r="AH516" i="1"/>
  <c r="AH517" i="1"/>
  <c r="AH518" i="1"/>
  <c r="AH519" i="1"/>
  <c r="AH520" i="1"/>
  <c r="AH521" i="1"/>
  <c r="AH522" i="1"/>
  <c r="AH523" i="1"/>
  <c r="AH524" i="1"/>
  <c r="AH525" i="1"/>
  <c r="AH526" i="1"/>
  <c r="AH527" i="1"/>
  <c r="AH528" i="1"/>
  <c r="AH529" i="1"/>
  <c r="AH530" i="1"/>
  <c r="AH531" i="1"/>
  <c r="AH532" i="1"/>
  <c r="AH533" i="1"/>
  <c r="AH534" i="1"/>
  <c r="AH535" i="1"/>
  <c r="AH536" i="1"/>
  <c r="AH537" i="1"/>
  <c r="AH538" i="1"/>
  <c r="AH539" i="1"/>
  <c r="AH540" i="1"/>
  <c r="AH541" i="1"/>
  <c r="AH542" i="1"/>
  <c r="AH543" i="1"/>
  <c r="AH544" i="1"/>
  <c r="AH545" i="1"/>
  <c r="AH546" i="1"/>
  <c r="AH547" i="1"/>
  <c r="AH548" i="1"/>
  <c r="AH549" i="1"/>
  <c r="AH550" i="1"/>
  <c r="AH551" i="1"/>
  <c r="AH552" i="1"/>
  <c r="AH553" i="1"/>
  <c r="AH554" i="1"/>
  <c r="AH555" i="1"/>
  <c r="AH556" i="1"/>
  <c r="AH557" i="1"/>
  <c r="AH558" i="1"/>
  <c r="AH559" i="1"/>
  <c r="AH560" i="1"/>
  <c r="AH561" i="1"/>
  <c r="AH562" i="1"/>
  <c r="AH563" i="1"/>
  <c r="AH564" i="1"/>
  <c r="AH565" i="1"/>
  <c r="AH566" i="1"/>
  <c r="AH567" i="1"/>
  <c r="AH568" i="1"/>
  <c r="AH569" i="1"/>
  <c r="AH570" i="1"/>
  <c r="AH571" i="1"/>
  <c r="AH572" i="1"/>
  <c r="AH573" i="1"/>
  <c r="AH574" i="1"/>
  <c r="AH575" i="1"/>
  <c r="AH576" i="1"/>
  <c r="AH577" i="1"/>
  <c r="AH578" i="1"/>
  <c r="AH579" i="1"/>
  <c r="AH580" i="1"/>
  <c r="AH581" i="1"/>
  <c r="AH582" i="1"/>
  <c r="AH583" i="1"/>
  <c r="AH584" i="1"/>
  <c r="AH585" i="1"/>
  <c r="AH586" i="1"/>
  <c r="AH587" i="1"/>
  <c r="AH588" i="1"/>
  <c r="AH589" i="1"/>
  <c r="AH590" i="1"/>
  <c r="AH591" i="1"/>
  <c r="AH592" i="1"/>
  <c r="AH593" i="1"/>
  <c r="AH594" i="1"/>
  <c r="AH595" i="1"/>
  <c r="AH596" i="1"/>
  <c r="AH597" i="1"/>
  <c r="AH598" i="1"/>
  <c r="AH599" i="1"/>
  <c r="AH600" i="1"/>
  <c r="AH601" i="1"/>
  <c r="AH602" i="1"/>
  <c r="AH603" i="1"/>
  <c r="AH604" i="1"/>
  <c r="AH605" i="1"/>
  <c r="AH606" i="1"/>
  <c r="AH607" i="1"/>
  <c r="AH608" i="1"/>
  <c r="AH609" i="1"/>
  <c r="AH610" i="1"/>
  <c r="AH611" i="1"/>
  <c r="AH612" i="1"/>
  <c r="AH613" i="1"/>
  <c r="AH614" i="1"/>
  <c r="AH615" i="1"/>
  <c r="AH616" i="1"/>
  <c r="AH617" i="1"/>
  <c r="AH618" i="1"/>
  <c r="AH619" i="1"/>
  <c r="AH620" i="1"/>
  <c r="AH621" i="1"/>
  <c r="AH622" i="1"/>
  <c r="AH623" i="1"/>
  <c r="AH624" i="1"/>
  <c r="AH625" i="1"/>
  <c r="AH626" i="1"/>
  <c r="AH627" i="1"/>
  <c r="AH628" i="1"/>
  <c r="AH629" i="1"/>
  <c r="AH630" i="1"/>
  <c r="AH631" i="1"/>
  <c r="AH632" i="1"/>
  <c r="AH633" i="1"/>
  <c r="AH634" i="1"/>
  <c r="AH635" i="1"/>
  <c r="AH636" i="1"/>
  <c r="AH637" i="1"/>
  <c r="AH638" i="1"/>
  <c r="AH639" i="1"/>
  <c r="AH640" i="1"/>
  <c r="AH641" i="1"/>
  <c r="AH642" i="1"/>
  <c r="AH643" i="1"/>
  <c r="AH644" i="1"/>
  <c r="AH645" i="1"/>
  <c r="AH646" i="1"/>
  <c r="AH647" i="1"/>
  <c r="AH648" i="1"/>
  <c r="AH649" i="1"/>
  <c r="AH650" i="1"/>
  <c r="AH651" i="1"/>
  <c r="AH652" i="1"/>
  <c r="AH653" i="1"/>
  <c r="AH654" i="1"/>
  <c r="AH655" i="1"/>
  <c r="AH656" i="1"/>
  <c r="AH657" i="1"/>
  <c r="AH658" i="1"/>
  <c r="AH659" i="1"/>
  <c r="AH660" i="1"/>
  <c r="AH661" i="1"/>
  <c r="AH662" i="1"/>
  <c r="AH663" i="1"/>
  <c r="AH664" i="1"/>
  <c r="AH665" i="1"/>
  <c r="AH666" i="1"/>
  <c r="AH667" i="1"/>
  <c r="AH668" i="1"/>
  <c r="AH669" i="1"/>
  <c r="AH670" i="1"/>
  <c r="AH671" i="1"/>
  <c r="AH672" i="1"/>
  <c r="AH673" i="1"/>
  <c r="AH674" i="1"/>
  <c r="AH675" i="1"/>
  <c r="AH676" i="1"/>
  <c r="AH677" i="1"/>
  <c r="AH678" i="1"/>
  <c r="AH679" i="1"/>
  <c r="AH680" i="1"/>
  <c r="AH681" i="1"/>
  <c r="AH682" i="1"/>
  <c r="AH683" i="1"/>
  <c r="AH684" i="1"/>
  <c r="AH685" i="1"/>
  <c r="AH686" i="1"/>
  <c r="AH687" i="1"/>
  <c r="AH688" i="1"/>
  <c r="AH689" i="1"/>
  <c r="AH690" i="1"/>
  <c r="AH691" i="1"/>
  <c r="AH692" i="1"/>
  <c r="AH693" i="1"/>
  <c r="AH694" i="1"/>
  <c r="AH695" i="1"/>
  <c r="AH696" i="1"/>
  <c r="AH697" i="1"/>
  <c r="AH698" i="1"/>
  <c r="AH699" i="1"/>
  <c r="AH700" i="1"/>
  <c r="AH701" i="1"/>
  <c r="AH702" i="1"/>
  <c r="AH703" i="1"/>
  <c r="AH704" i="1"/>
  <c r="AH705" i="1"/>
  <c r="AH706" i="1"/>
  <c r="AH707" i="1"/>
  <c r="AH708" i="1"/>
  <c r="AH709" i="1"/>
  <c r="AH710" i="1"/>
  <c r="AH711" i="1"/>
  <c r="AH712" i="1"/>
  <c r="AH713" i="1"/>
  <c r="AH714" i="1"/>
  <c r="AH715" i="1"/>
  <c r="AH716" i="1"/>
  <c r="AH717" i="1"/>
  <c r="AH718" i="1"/>
  <c r="AH719" i="1"/>
  <c r="AH720" i="1"/>
  <c r="AH721" i="1"/>
  <c r="AH722" i="1"/>
  <c r="AH723" i="1"/>
  <c r="AH724" i="1"/>
  <c r="AH725" i="1"/>
  <c r="AH726" i="1"/>
  <c r="AH727" i="1"/>
  <c r="AH728" i="1"/>
  <c r="AH729" i="1"/>
  <c r="AH730" i="1"/>
  <c r="AH731" i="1"/>
  <c r="AH732" i="1"/>
  <c r="AH733" i="1"/>
  <c r="AH734" i="1"/>
  <c r="AH735" i="1"/>
  <c r="AH736" i="1"/>
  <c r="AH737" i="1"/>
  <c r="AH738" i="1"/>
  <c r="AH739" i="1"/>
  <c r="AH740" i="1"/>
  <c r="AH741" i="1"/>
  <c r="AH742" i="1"/>
  <c r="AH743" i="1"/>
  <c r="AH744" i="1"/>
  <c r="AH745" i="1"/>
  <c r="AH746" i="1"/>
  <c r="AH747" i="1"/>
  <c r="AH748" i="1"/>
  <c r="AH749" i="1"/>
  <c r="AH750" i="1"/>
  <c r="AH751" i="1"/>
  <c r="AH752" i="1"/>
  <c r="AH753" i="1"/>
  <c r="AH754" i="1"/>
  <c r="AH755" i="1"/>
  <c r="AH756" i="1"/>
  <c r="AH757" i="1"/>
  <c r="AH758" i="1"/>
  <c r="AH759" i="1"/>
  <c r="AH760" i="1"/>
  <c r="AH761" i="1"/>
  <c r="AH762" i="1"/>
  <c r="AH763" i="1"/>
  <c r="AH764" i="1"/>
  <c r="AH765" i="1"/>
  <c r="AH766" i="1"/>
  <c r="AH767" i="1"/>
  <c r="AH768" i="1"/>
  <c r="AH769" i="1"/>
  <c r="AH770" i="1"/>
  <c r="AH771" i="1"/>
  <c r="AH772" i="1"/>
  <c r="AH773" i="1"/>
  <c r="AH774" i="1"/>
  <c r="AH775" i="1"/>
  <c r="AH776" i="1"/>
  <c r="AH777" i="1"/>
  <c r="AH778" i="1"/>
  <c r="AH779" i="1"/>
  <c r="AH780" i="1"/>
  <c r="AH781" i="1"/>
  <c r="AH782" i="1"/>
  <c r="AH783" i="1"/>
  <c r="AH784" i="1"/>
  <c r="AH785" i="1"/>
  <c r="AH786" i="1"/>
  <c r="AH787" i="1"/>
  <c r="AH788" i="1"/>
  <c r="AH789" i="1"/>
  <c r="AH790" i="1"/>
  <c r="AH791" i="1"/>
  <c r="AH792" i="1"/>
  <c r="AH793" i="1"/>
  <c r="AH794" i="1"/>
  <c r="AH795" i="1"/>
  <c r="AH796" i="1"/>
  <c r="AH797" i="1"/>
  <c r="AH798" i="1"/>
  <c r="AH799" i="1"/>
  <c r="AH800" i="1"/>
  <c r="AH801" i="1"/>
  <c r="AH802" i="1"/>
  <c r="AH803" i="1"/>
  <c r="AH804" i="1"/>
  <c r="AH805" i="1"/>
  <c r="AH806" i="1"/>
  <c r="AH807" i="1"/>
  <c r="AH808" i="1"/>
  <c r="AH809" i="1"/>
  <c r="AH810" i="1"/>
  <c r="AH811" i="1"/>
  <c r="AH812" i="1"/>
  <c r="AH813" i="1"/>
  <c r="AH814" i="1"/>
  <c r="AH815" i="1"/>
  <c r="AH816" i="1"/>
  <c r="AH817" i="1"/>
  <c r="AH818" i="1"/>
  <c r="AH819" i="1"/>
  <c r="AH820" i="1"/>
  <c r="AH821" i="1"/>
  <c r="AH822" i="1"/>
  <c r="AH823" i="1"/>
  <c r="AH824" i="1"/>
  <c r="AH825" i="1"/>
  <c r="AH826" i="1"/>
  <c r="AH827" i="1"/>
  <c r="AH828" i="1"/>
  <c r="AH829" i="1"/>
  <c r="AH830" i="1"/>
  <c r="AH831" i="1"/>
  <c r="AH832" i="1"/>
  <c r="AH833" i="1"/>
  <c r="AH834" i="1"/>
  <c r="AH835" i="1"/>
  <c r="AH836" i="1"/>
  <c r="AH837" i="1"/>
  <c r="AH838" i="1"/>
  <c r="AH839" i="1"/>
  <c r="AH840" i="1"/>
  <c r="AH841" i="1"/>
  <c r="AH842" i="1"/>
  <c r="AH843" i="1"/>
  <c r="AH844" i="1"/>
  <c r="AH845" i="1"/>
  <c r="AH846" i="1"/>
  <c r="AH847" i="1"/>
  <c r="AH848" i="1"/>
  <c r="AH849" i="1"/>
  <c r="AH850" i="1"/>
  <c r="AH851" i="1"/>
  <c r="AH852" i="1"/>
  <c r="AH853" i="1"/>
  <c r="AH854" i="1"/>
  <c r="AH855" i="1"/>
  <c r="AH856" i="1"/>
  <c r="AH857" i="1"/>
  <c r="AH858" i="1"/>
  <c r="AH859" i="1"/>
  <c r="AH860" i="1"/>
  <c r="AH861" i="1"/>
  <c r="AH862" i="1"/>
  <c r="AH2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2" i="1"/>
  <c r="O3" i="1"/>
  <c r="O4" i="1"/>
</calcChain>
</file>

<file path=xl/sharedStrings.xml><?xml version="1.0" encoding="utf-8"?>
<sst xmlns="http://schemas.openxmlformats.org/spreadsheetml/2006/main" count="12161" uniqueCount="1022">
  <si>
    <t>id_simulation</t>
  </si>
  <si>
    <t>building_name</t>
  </si>
  <si>
    <t>typo_dpe</t>
  </si>
  <si>
    <t>etiquette_energie</t>
  </si>
  <si>
    <t>etiquette_co2</t>
  </si>
  <si>
    <t>dpe_bilan</t>
  </si>
  <si>
    <t>indoor_wall_isolation</t>
  </si>
  <si>
    <t>exterior_wall_isolation</t>
  </si>
  <si>
    <t>window_replacement_DG</t>
  </si>
  <si>
    <t>window_replacement_TG</t>
  </si>
  <si>
    <t>floor_isolation</t>
  </si>
  <si>
    <t>roof_isolation</t>
  </si>
  <si>
    <t>VMC_installation</t>
  </si>
  <si>
    <t>system_installation</t>
  </si>
  <si>
    <t>cout_investissement_euros</t>
  </si>
  <si>
    <t>eco_gaz_euros</t>
  </si>
  <si>
    <t>cout_elec_euros</t>
  </si>
  <si>
    <t>eco_elec_euros</t>
  </si>
  <si>
    <t>eco_mwh_keuros</t>
  </si>
  <si>
    <t>eco_20_ans_euros</t>
  </si>
  <si>
    <t>roi_annees</t>
  </si>
  <si>
    <t>emission_totale_co2_tonnes_an</t>
  </si>
  <si>
    <t>gains_emm_co2_total_tonnes</t>
  </si>
  <si>
    <t>gains_emm_co2_total_ratio</t>
  </si>
  <si>
    <t>emission_co2_surfacique_kgCO2/m2</t>
  </si>
  <si>
    <t>conso_total_mwh_an</t>
  </si>
  <si>
    <t>gains_totaux_mwh_an</t>
  </si>
  <si>
    <t>gains_totaux_ratio</t>
  </si>
  <si>
    <t>conso_surfacique_totale_kwh_m2_an</t>
  </si>
  <si>
    <t>gains_conso_surfacique_total_kwh_m2_an</t>
  </si>
  <si>
    <t>gains_emission_co2_surfacique_kgCO2/m2</t>
  </si>
  <si>
    <t>conservatoire_maurice_bacquet_ref_calibrated</t>
  </si>
  <si>
    <t>conservatoire_maurice_bacquet</t>
  </si>
  <si>
    <t>Autres</t>
  </si>
  <si>
    <t>D</t>
  </si>
  <si>
    <t>False</t>
  </si>
  <si>
    <t>conservatoire_maurice_bacquet_simulation 1</t>
  </si>
  <si>
    <t>True</t>
  </si>
  <si>
    <t>conservatoire_maurice_bacquet_simulation 10</t>
  </si>
  <si>
    <t>C</t>
  </si>
  <si>
    <t>conservatoire_maurice_bacquet_simulation 2</t>
  </si>
  <si>
    <t>conservatoire_maurice_bacquet_simulation 3</t>
  </si>
  <si>
    <t>conservatoire_maurice_bacquet_simulation 4</t>
  </si>
  <si>
    <t>conservatoire_maurice_bacquet_simulation 5</t>
  </si>
  <si>
    <t>conservatoire_maurice_bacquet_simulation 6</t>
  </si>
  <si>
    <t>conservatoire_maurice_bacquet_simulation 7</t>
  </si>
  <si>
    <t>conservatoire_maurice_bacquet_simulation 8</t>
  </si>
  <si>
    <t>conservatoire_maurice_bacquet_simulation 9</t>
  </si>
  <si>
    <t>espace_michel_simon_ref_calibrated</t>
  </si>
  <si>
    <t>espace_michel_simon</t>
  </si>
  <si>
    <t>espace_michel_simon_simulation 1</t>
  </si>
  <si>
    <t>espace_michel_simon_simulation 10</t>
  </si>
  <si>
    <t>B</t>
  </si>
  <si>
    <t>espace_michel_simon_simulation 2</t>
  </si>
  <si>
    <t>espace_michel_simon_simulation 3</t>
  </si>
  <si>
    <t>espace_michel_simon_simulation 4</t>
  </si>
  <si>
    <t>espace_michel_simon_simulation 5</t>
  </si>
  <si>
    <t>espace_michel_simon_simulation 6</t>
  </si>
  <si>
    <t>espace_michel_simon_simulation 7</t>
  </si>
  <si>
    <t>espace_michel_simon_simulation 8</t>
  </si>
  <si>
    <t>espace_michel_simon_simulation 9</t>
  </si>
  <si>
    <t>gs_alex_dumas_ref_calibrated</t>
  </si>
  <si>
    <t>gs_alex_dumas</t>
  </si>
  <si>
    <t>Enseignement</t>
  </si>
  <si>
    <t>gs_alex_dumas_simulation 1</t>
  </si>
  <si>
    <t>gs_alex_dumas_simulation 10</t>
  </si>
  <si>
    <t>gs_alex_dumas_simulation 2</t>
  </si>
  <si>
    <t>gs_alex_dumas_simulation 3</t>
  </si>
  <si>
    <t>gs_alex_dumas_simulation 4</t>
  </si>
  <si>
    <t>gs_alex_dumas_simulation 5</t>
  </si>
  <si>
    <t>gs_alex_dumas_simulation 6</t>
  </si>
  <si>
    <t>gs_alex_dumas_simulation 7</t>
  </si>
  <si>
    <t>gs_alex_dumas_simulation 8</t>
  </si>
  <si>
    <t>gs_alex_dumas_simulation 9</t>
  </si>
  <si>
    <t>gs_celestin_freinet_ref_calibrated</t>
  </si>
  <si>
    <t>gs_celestin_freinet</t>
  </si>
  <si>
    <t>gs_celestin_freinet_simulation 10</t>
  </si>
  <si>
    <t>A</t>
  </si>
  <si>
    <t>gs_celestin_freinet_simulation 2</t>
  </si>
  <si>
    <t>gs_celestin_freinet_simulation 3</t>
  </si>
  <si>
    <t>gs_celestin_freinet_simulation 4</t>
  </si>
  <si>
    <t>gs_celestin_freinet_simulation 5</t>
  </si>
  <si>
    <t>gs_celestin_freinet_simulation 6</t>
  </si>
  <si>
    <t>gs_celestin_freinet_simulation 7</t>
  </si>
  <si>
    <t>gs_celestin_freinet_simulation 8</t>
  </si>
  <si>
    <t>gs_celestin_freinet_simulation 9</t>
  </si>
  <si>
    <t>gs_clos_arche_ref_calibrated</t>
  </si>
  <si>
    <t>gs_clos_arche</t>
  </si>
  <si>
    <t>gs_clos_arche_simulation 1</t>
  </si>
  <si>
    <t>gs_clos_arche_simulation 10</t>
  </si>
  <si>
    <t>gs_clos_arche_simulation 2</t>
  </si>
  <si>
    <t>gs_clos_arche_simulation 3</t>
  </si>
  <si>
    <t>gs_clos_arche_simulation 4</t>
  </si>
  <si>
    <t>gs_clos_arche_simulation 5</t>
  </si>
  <si>
    <t>gs_clos_arche_simulation 6</t>
  </si>
  <si>
    <t>gs_clos_arche_simulation 7</t>
  </si>
  <si>
    <t>gs_clos_arche_simulation 8</t>
  </si>
  <si>
    <t>gs_clos_arche_simulation 9</t>
  </si>
  <si>
    <t>gs_clos_dambert_ref_calibrated</t>
  </si>
  <si>
    <t>gs_clos_dambert</t>
  </si>
  <si>
    <t>gs_clos_dambert_simulation 1</t>
  </si>
  <si>
    <t>gs_clos_dambert_simulation 10</t>
  </si>
  <si>
    <t>gs_clos_dambert_simulation 2</t>
  </si>
  <si>
    <t>gs_clos_dambert_simulation 3</t>
  </si>
  <si>
    <t>gs_clos_dambert_simulation 4</t>
  </si>
  <si>
    <t>gs_clos_dambert_simulation 5</t>
  </si>
  <si>
    <t>gs_clos_dambert_simulation 6</t>
  </si>
  <si>
    <t>gs_clos_dambert_simulation 7</t>
  </si>
  <si>
    <t>gs_clos_dambert_simulation 8</t>
  </si>
  <si>
    <t>gs_clos_dambert_simulation 9</t>
  </si>
  <si>
    <t>gs_george_brassens_ref_calibrated</t>
  </si>
  <si>
    <t>gs_george_brassens</t>
  </si>
  <si>
    <t>gs_george_brassens_simulation 1</t>
  </si>
  <si>
    <t>gs_george_brassens_simulation 10</t>
  </si>
  <si>
    <t>gs_george_brassens_simulation 2</t>
  </si>
  <si>
    <t>gs_george_brassens_simulation 3</t>
  </si>
  <si>
    <t>gs_george_brassens_simulation 4</t>
  </si>
  <si>
    <t>gs_george_brassens_simulation 5</t>
  </si>
  <si>
    <t>gs_george_brassens_simulation 6</t>
  </si>
  <si>
    <t>gs_george_brassens_simulation 7</t>
  </si>
  <si>
    <t>gs_george_brassens_simulation 8</t>
  </si>
  <si>
    <t>gs_george_brassens_simulation 9</t>
  </si>
  <si>
    <t>gs_joliot_curie_ref_calibrated</t>
  </si>
  <si>
    <t>gs_joliot_curie</t>
  </si>
  <si>
    <t>gs_joliot_curie_simulation 1</t>
  </si>
  <si>
    <t>gs_joliot_curie_simulation 10</t>
  </si>
  <si>
    <t>gs_joliot_curie_simulation 2</t>
  </si>
  <si>
    <t>gs_joliot_curie_simulation 3</t>
  </si>
  <si>
    <t>gs_joliot_curie_simulation 4</t>
  </si>
  <si>
    <t>gs_joliot_curie_simulation 5</t>
  </si>
  <si>
    <t>gs_joliot_curie_simulation 6</t>
  </si>
  <si>
    <t>gs_joliot_curie_simulation 7</t>
  </si>
  <si>
    <t>gs_joliot_curie_simulation 8</t>
  </si>
  <si>
    <t>gs_joliot_curie_simulation 9</t>
  </si>
  <si>
    <t>gs_jules_ferry_ref_calibrated</t>
  </si>
  <si>
    <t>gs_jules_ferry</t>
  </si>
  <si>
    <t>gs_jules_ferry_simulation 1</t>
  </si>
  <si>
    <t>gs_jules_ferry_simulation 10</t>
  </si>
  <si>
    <t>gs_jules_ferry_simulation 2</t>
  </si>
  <si>
    <t>gs_jules_ferry_simulation 3</t>
  </si>
  <si>
    <t>gs_jules_ferry_simulation 4</t>
  </si>
  <si>
    <t>gs_jules_ferry_simulation 5</t>
  </si>
  <si>
    <t>gs_jules_ferry_simulation 6</t>
  </si>
  <si>
    <t>gs_jules_ferry_simulation 7</t>
  </si>
  <si>
    <t>gs_jules_ferry_simulation 8</t>
  </si>
  <si>
    <t>gs_jules_ferry_simulation 9</t>
  </si>
  <si>
    <t>gs_jules_verne_ref_calibrated</t>
  </si>
  <si>
    <t>gs_jules_verne</t>
  </si>
  <si>
    <t>gs_jules_verne_simulation 1</t>
  </si>
  <si>
    <t>gs_jules_verne_simulation 10</t>
  </si>
  <si>
    <t>gs_jules_verne_simulation 2</t>
  </si>
  <si>
    <t>gs_jules_verne_simulation 3</t>
  </si>
  <si>
    <t>gs_jules_verne_simulation 4</t>
  </si>
  <si>
    <t>gs_jules_verne_simulation 5</t>
  </si>
  <si>
    <t>gs_jules_verne_simulation 6</t>
  </si>
  <si>
    <t>gs_jules_verne_simulation 7</t>
  </si>
  <si>
    <t>gs_jules_verne_simulation 8</t>
  </si>
  <si>
    <t>gs_jules_verne_simulation 9</t>
  </si>
  <si>
    <t>gs_la_varenne_ref_calibrated</t>
  </si>
  <si>
    <t>gs_la_varenne</t>
  </si>
  <si>
    <t>gs_la_varenne_simulation 1</t>
  </si>
  <si>
    <t>gs_la_varenne_simulation 10</t>
  </si>
  <si>
    <t>gs_la_varenne_simulation 2</t>
  </si>
  <si>
    <t>gs_la_varenne_simulation 3</t>
  </si>
  <si>
    <t>gs_la_varenne_simulation 4</t>
  </si>
  <si>
    <t>gs_la_varenne_simulation 5</t>
  </si>
  <si>
    <t>gs_la_varenne_simulation 6</t>
  </si>
  <si>
    <t>gs_la_varenne_simulation 7</t>
  </si>
  <si>
    <t>gs_la_varenne_simulation 8</t>
  </si>
  <si>
    <t>gs_la_varenne_simulation 9</t>
  </si>
  <si>
    <t>gs_les_abeilles_ref_calibrated</t>
  </si>
  <si>
    <t>gs_les_abeilles</t>
  </si>
  <si>
    <t>gs_les_abeilles_simulation 1</t>
  </si>
  <si>
    <t>gs_les_abeilles_simulation 10</t>
  </si>
  <si>
    <t>gs_les_abeilles_simulation 2</t>
  </si>
  <si>
    <t>gs_les_abeilles_simulation 3</t>
  </si>
  <si>
    <t>gs_les_abeilles_simulation 4</t>
  </si>
  <si>
    <t>gs_les_abeilles_simulation 5</t>
  </si>
  <si>
    <t>gs_les_abeilles_simulation 6</t>
  </si>
  <si>
    <t>gs_les_abeilles_simulation 7</t>
  </si>
  <si>
    <t>gs_les_abeilles_simulation 8</t>
  </si>
  <si>
    <t>gs_les_abeilles_simulation 9</t>
  </si>
  <si>
    <t>gs_les_charmilles_ref_calibrated</t>
  </si>
  <si>
    <t>gs_les_charmilles</t>
  </si>
  <si>
    <t>gs_les_charmilles_simulation 1</t>
  </si>
  <si>
    <t>gs_les_charmilles_simulation 10</t>
  </si>
  <si>
    <t>gs_les_charmilles_simulation 2</t>
  </si>
  <si>
    <t>gs_les_charmilles_simulation 3</t>
  </si>
  <si>
    <t>gs_les_charmilles_simulation 4</t>
  </si>
  <si>
    <t>gs_les_charmilles_simulation 5</t>
  </si>
  <si>
    <t>gs_les_charmilles_simulation 6</t>
  </si>
  <si>
    <t>gs_les_charmilles_simulation 7</t>
  </si>
  <si>
    <t>gs_les_charmilles_simulation 8</t>
  </si>
  <si>
    <t>gs_les_charmilles_simulation 9</t>
  </si>
  <si>
    <t>gs_les_noyers_ref_calibrated</t>
  </si>
  <si>
    <t>gs_les_noyers</t>
  </si>
  <si>
    <t>gs_les_noyers_simulation 1</t>
  </si>
  <si>
    <t>gs_les_noyers_simulation 10</t>
  </si>
  <si>
    <t>gs_les_noyers_simulation 2</t>
  </si>
  <si>
    <t>gs_les_noyers_simulation 3</t>
  </si>
  <si>
    <t>gs_les_noyers_simulation 4</t>
  </si>
  <si>
    <t>gs_les_noyers_simulation 5</t>
  </si>
  <si>
    <t>gs_les_noyers_simulation 6</t>
  </si>
  <si>
    <t>gs_les_noyers_simulation 7</t>
  </si>
  <si>
    <t>gs_les_noyers_simulation 8</t>
  </si>
  <si>
    <t>gs_les_noyers_simulation 9</t>
  </si>
  <si>
    <t>gs_les_yvris_ref_calibrated</t>
  </si>
  <si>
    <t>gs_les_yvris</t>
  </si>
  <si>
    <t>gs_les_yvris_simulation 1</t>
  </si>
  <si>
    <t>gs_les_yvris_simulation 10</t>
  </si>
  <si>
    <t>gs_les_yvris_simulation 2</t>
  </si>
  <si>
    <t>gs_les_yvris_simulation 3</t>
  </si>
  <si>
    <t>gs_les_yvris_simulation 4</t>
  </si>
  <si>
    <t>gs_les_yvris_simulation 5</t>
  </si>
  <si>
    <t>gs_les_yvris_simulation 6</t>
  </si>
  <si>
    <t>gs_les_yvris_simulation 7</t>
  </si>
  <si>
    <t>gs_les_yvris_simulation 8</t>
  </si>
  <si>
    <t>gs_les_yvris_simulation 9</t>
  </si>
  <si>
    <t>gs_van_gogh_ref_calibrated</t>
  </si>
  <si>
    <t>gs_van_gogh</t>
  </si>
  <si>
    <t>gs_van_gogh_simulation 1</t>
  </si>
  <si>
    <t>gs_van_gogh_simulation 10</t>
  </si>
  <si>
    <t>gs_van_gogh_simulation 2</t>
  </si>
  <si>
    <t>gs_van_gogh_simulation 3</t>
  </si>
  <si>
    <t>gs_van_gogh_simulation 4</t>
  </si>
  <si>
    <t>gs_van_gogh_simulation 5</t>
  </si>
  <si>
    <t>gs_van_gogh_simulation 6</t>
  </si>
  <si>
    <t>gs_van_gogh_simulation 7</t>
  </si>
  <si>
    <t>gs_van_gogh_simulation 8</t>
  </si>
  <si>
    <t>gs_van_gogh_simulation 9</t>
  </si>
  <si>
    <t>gymnase_champy_ref_calibrated</t>
  </si>
  <si>
    <t>gymnase_champy</t>
  </si>
  <si>
    <t>Sports</t>
  </si>
  <si>
    <t>gymnase_champy_simulation 1</t>
  </si>
  <si>
    <t>gymnase_champy_simulation 10</t>
  </si>
  <si>
    <t>gymnase_champy_simulation 2</t>
  </si>
  <si>
    <t>gymnase_champy_simulation 3</t>
  </si>
  <si>
    <t>gymnase_champy_simulation 4</t>
  </si>
  <si>
    <t>gymnase_champy_simulation 5</t>
  </si>
  <si>
    <t>gymnase_champy_simulation 6</t>
  </si>
  <si>
    <t>gymnase_champy_simulation 7</t>
  </si>
  <si>
    <t>gymnase_champy_simulation 8</t>
  </si>
  <si>
    <t>gymnase_champy_simulation 9</t>
  </si>
  <si>
    <t>gymnase_la_varenne_ref_calibrated</t>
  </si>
  <si>
    <t>gymnase_la_varenne</t>
  </si>
  <si>
    <t>gymnase_la_varenne_simulation 1</t>
  </si>
  <si>
    <t>gymnase_la_varenne_simulation 10</t>
  </si>
  <si>
    <t>gymnase_la_varenne_simulation 2</t>
  </si>
  <si>
    <t>gymnase_la_varenne_simulation 3</t>
  </si>
  <si>
    <t>gymnase_la_varenne_simulation 4</t>
  </si>
  <si>
    <t>gymnase_la_varenne_simulation 5</t>
  </si>
  <si>
    <t>gymnase_la_varenne_simulation 6</t>
  </si>
  <si>
    <t>gymnase_la_varenne_simulation 7</t>
  </si>
  <si>
    <t>gymnase_la_varenne_simulation 8</t>
  </si>
  <si>
    <t>gymnase_la_varenne_simulation 9</t>
  </si>
  <si>
    <t>gymnase_louison_bobet_ref_calibrated</t>
  </si>
  <si>
    <t>gymnase_louison_bobet</t>
  </si>
  <si>
    <t>gymnase_louison_bobet_simulation 1</t>
  </si>
  <si>
    <t>gymnase_louison_bobet_simulation 10</t>
  </si>
  <si>
    <t>gymnase_louison_bobet_simulation 2</t>
  </si>
  <si>
    <t>gymnase_louison_bobet_simulation 3</t>
  </si>
  <si>
    <t>gymnase_louison_bobet_simulation 4</t>
  </si>
  <si>
    <t>gymnase_louison_bobet_simulation 5</t>
  </si>
  <si>
    <t>gymnase_louison_bobet_simulation 6</t>
  </si>
  <si>
    <t>gymnase_louison_bobet_simulation 7</t>
  </si>
  <si>
    <t>gymnase_louison_bobet_simulation 8</t>
  </si>
  <si>
    <t>gymnase_louison_bobet_simulation 9</t>
  </si>
  <si>
    <t>mpt_la_varenne_ref_calibrated</t>
  </si>
  <si>
    <t>mpt_la_varenne</t>
  </si>
  <si>
    <t>mpt_la_varenne_simulation 1</t>
  </si>
  <si>
    <t>mpt_la_varenne_simulation 10</t>
  </si>
  <si>
    <t>mpt_la_varenne_simulation 2</t>
  </si>
  <si>
    <t>mpt_la_varenne_simulation 3</t>
  </si>
  <si>
    <t>mpt_la_varenne_simulation 4</t>
  </si>
  <si>
    <t>mpt_la_varenne_simulation 5</t>
  </si>
  <si>
    <t>mpt_la_varenne_simulation 6</t>
  </si>
  <si>
    <t>mpt_la_varenne_simulation 7</t>
  </si>
  <si>
    <t>mpt_la_varenne_simulation 8</t>
  </si>
  <si>
    <t>mpt_la_varenne_simulation 9</t>
  </si>
  <si>
    <t>mpt_marcel_bou_ref_calibrated</t>
  </si>
  <si>
    <t>mpt_marcel_bou</t>
  </si>
  <si>
    <t>F</t>
  </si>
  <si>
    <t>mpt_marcel_bou_simulation 1</t>
  </si>
  <si>
    <t>E</t>
  </si>
  <si>
    <t>mpt_marcel_bou_simulation 10</t>
  </si>
  <si>
    <t>mpt_marcel_bou_simulation 2</t>
  </si>
  <si>
    <t>mpt_marcel_bou_simulation 3</t>
  </si>
  <si>
    <t>mpt_marcel_bou_simulation 4</t>
  </si>
  <si>
    <t>mpt_marcel_bou_simulation 5</t>
  </si>
  <si>
    <t>mpt_marcel_bou_simulation 6</t>
  </si>
  <si>
    <t>mpt_marcel_bou_simulation 7</t>
  </si>
  <si>
    <t>mpt_marcel_bou_simulation 8</t>
  </si>
  <si>
    <t>mpt_marcel_bou_simulation 9</t>
  </si>
  <si>
    <t>villa_cathala_ref_calibrated</t>
  </si>
  <si>
    <t>villa_cathala</t>
  </si>
  <si>
    <t>villa_cathala_simulation 10</t>
  </si>
  <si>
    <t>villa_cathala_simulation 2</t>
  </si>
  <si>
    <t>villa_cathala_simulation 3</t>
  </si>
  <si>
    <t>villa_cathala_simulation 4</t>
  </si>
  <si>
    <t>villa_cathala_simulation 6</t>
  </si>
  <si>
    <t>villa_cathala_simulation 8</t>
  </si>
  <si>
    <t>groupe_scolaire_des_hauts_bâtons_ref_calibrated</t>
  </si>
  <si>
    <t>groupe_scolaire_des_hauts_bâtons</t>
  </si>
  <si>
    <t>groupe_scolaire_des_hauts_bâtons_simulation_1</t>
  </si>
  <si>
    <t>groupe_scolaire_des_hauts_bâtons_simulation_2</t>
  </si>
  <si>
    <t>groupe_scolaire_des_hauts_bâtons_simulation_3</t>
  </si>
  <si>
    <t>groupe_scolaire_des_hauts_bâtons_simulation_4</t>
  </si>
  <si>
    <t>groupe_scolaire_des_hauts_bâtons_simulation_5</t>
  </si>
  <si>
    <t>groupe_scolaire_des_hauts_bâtons_simulation_6</t>
  </si>
  <si>
    <t>groupe_scolaire_des_hauts_bâtons_simulation_7</t>
  </si>
  <si>
    <t>groupe_scolaire_des_hauts_bâtons_simulation_8</t>
  </si>
  <si>
    <t>groupe_scolaire_des_hauts_bâtons_simulation_9</t>
  </si>
  <si>
    <t>groupe_scolaire_les_coteaux_ref_calibrated</t>
  </si>
  <si>
    <t>groupe_scolaire_les_coteaux</t>
  </si>
  <si>
    <t>groupe_scolaire_les_coteaux_simulation_1</t>
  </si>
  <si>
    <t>groupe_scolaire_les_coteaux_simulation_2</t>
  </si>
  <si>
    <t>groupe_scolaire_les_coteaux_simulation_3</t>
  </si>
  <si>
    <t>groupe_scolaire_les_coteaux_simulation_4</t>
  </si>
  <si>
    <t>groupe_scolaire_les_coteaux_simulation_5</t>
  </si>
  <si>
    <t>groupe_scolaire_les_coteaux_simulation_6</t>
  </si>
  <si>
    <t>groupe_scolaire_les_coteaux_simulation_7</t>
  </si>
  <si>
    <t>groupe_scolaire_les_coteaux_simulation_8</t>
  </si>
  <si>
    <t>groupe_scolaire_les_coteaux_simulation_9</t>
  </si>
  <si>
    <t>groupe_scolaire_les_coteaux_simulation_10</t>
  </si>
  <si>
    <t>groupe_scolaire_les_coteaux_simulation_11</t>
  </si>
  <si>
    <t>groupe_scolaire_les_coteaux_simulation_12</t>
  </si>
  <si>
    <t>groupe_scolaire_les_coteaux_simulation_13</t>
  </si>
  <si>
    <t>groupe_scolaire_les_richardets_ref_calibrated</t>
  </si>
  <si>
    <t>groupe_scolaire_les_richardets</t>
  </si>
  <si>
    <t>groupe_scolaire_les_richardets_simulation_1</t>
  </si>
  <si>
    <t>groupe_scolaire_les_richardets_simulation_2</t>
  </si>
  <si>
    <t>groupe_scolaire_paul_serelle_ref_calibrated</t>
  </si>
  <si>
    <t>groupe_scolaire_paul_serelle</t>
  </si>
  <si>
    <t>groupe_scolaire_paul_serelle_simulation_1</t>
  </si>
  <si>
    <t>groupe_scolaire_paul_serelle_simulation_2</t>
  </si>
  <si>
    <t>groupe_scolaire_robert_desnos_ref_calibrated</t>
  </si>
  <si>
    <t>groupe_scolaire_robert_desnos</t>
  </si>
  <si>
    <t>groupe_scolaire_robert_desnos_simulation_1</t>
  </si>
  <si>
    <t>groupe_scolaire_robert_desnos_simulation_2</t>
  </si>
  <si>
    <t>groupe_scolaire_robert_desnos_simulation_3</t>
  </si>
  <si>
    <t>groupe_scolaire_robert_desnos_simulation_4</t>
  </si>
  <si>
    <t>groupe_scolaire_robert_desnos_simulation_5</t>
  </si>
  <si>
    <t>groupe_scolaire_robert_desnos_simulation_6</t>
  </si>
  <si>
    <t>groupe_scolaire_robert_desnos_simulation_7</t>
  </si>
  <si>
    <t>groupe_scolaire_robert_desnos_simulation_8</t>
  </si>
  <si>
    <t>groupe_scolaire_robert_desnos_simulation_9</t>
  </si>
  <si>
    <t>groupe_scolaire_robert_desnos_simulation_10</t>
  </si>
  <si>
    <t>gymnase_de_la_butte_verte_ref_calibrated</t>
  </si>
  <si>
    <t>gymnase_de_la_butte_verte</t>
  </si>
  <si>
    <t>gymnase_de_la_butte_verte_simulation_1</t>
  </si>
  <si>
    <t>gymnase_de_la_butte_verte_simulation_2</t>
  </si>
  <si>
    <t>gymnase_de_la_butte_verte_simulation_3</t>
  </si>
  <si>
    <t>gymnase_de_la_butte_verte_simulation_4</t>
  </si>
  <si>
    <t>gymnase_de_la_butte_verte_simulation_5</t>
  </si>
  <si>
    <t>gymnase_de_la_butte_verte_simulation_6</t>
  </si>
  <si>
    <t>gymnase_de_la_butte_verte_simulation_7</t>
  </si>
  <si>
    <t>gymnase_de_la_butte_verte_simulation_8</t>
  </si>
  <si>
    <t>gymnase_du_clos_de_l'arche_ref_calibrated</t>
  </si>
  <si>
    <t>gymnase_du_clos_de_l'arche</t>
  </si>
  <si>
    <t>gymnase_du_clos_de_l'arche_simulation_1</t>
  </si>
  <si>
    <t>gymnase_du_clos_de_l'arche_simulation_2</t>
  </si>
  <si>
    <t>gymnase_les_coteaux_ref_calibrated</t>
  </si>
  <si>
    <t>gymnase_les_coteaux</t>
  </si>
  <si>
    <t>gymnase_les_coteaux_simulation_1</t>
  </si>
  <si>
    <t>gymnase_les_coteaux_simulation_2</t>
  </si>
  <si>
    <t>gymnase_les_coteaux_simulation_3</t>
  </si>
  <si>
    <t>gymnase_les_coteaux_simulation_4</t>
  </si>
  <si>
    <t>gymnase_les_coteaux_simulation_5</t>
  </si>
  <si>
    <t>gymnase_les_coteaux_simulation_6</t>
  </si>
  <si>
    <t>gymnase_les_coteaux_simulation_7</t>
  </si>
  <si>
    <t>gymnase_les_coteaux_simulation_8</t>
  </si>
  <si>
    <t>gymnase_les_coteaux_simulation_9</t>
  </si>
  <si>
    <t>gymnase_les_coteaux_simulation_10</t>
  </si>
  <si>
    <t>gymnase_les_coteaux_simulation_11</t>
  </si>
  <si>
    <t>gymnase_les_coteaux_simulation_12</t>
  </si>
  <si>
    <t>gymnase_les_yvris_ref_calibrated</t>
  </si>
  <si>
    <t>gymnase_les_yvris</t>
  </si>
  <si>
    <t>gymnase_les_yvris_simulation_1</t>
  </si>
  <si>
    <t>gymnase_les_yvris_simulation_2</t>
  </si>
  <si>
    <t>gymnase_les_yvris_simulation_3</t>
  </si>
  <si>
    <t>gymnase_les_yvris_simulation_4</t>
  </si>
  <si>
    <t>gymnase_les_yvris_simulation_5</t>
  </si>
  <si>
    <t>gymnase_les_yvris_simulation_6</t>
  </si>
  <si>
    <t>gymnase_les_yvris_simulation_7</t>
  </si>
  <si>
    <t>gymnase_les_yvris_simulation_8</t>
  </si>
  <si>
    <t>gymnase_les_yvris_simulation_9</t>
  </si>
  <si>
    <t>gymnase_les_yvris_simulation_10</t>
  </si>
  <si>
    <t>mpt_les_richardets_ref_calibrated</t>
  </si>
  <si>
    <t>mpt_les_richardets</t>
  </si>
  <si>
    <t>mpt_les_richardets_simulation_1</t>
  </si>
  <si>
    <t>mpt_les_richardets_simulation_2</t>
  </si>
  <si>
    <t>mpt_les_richardets_simulation_3</t>
  </si>
  <si>
    <t>mpt_les_richardets_simulation_4</t>
  </si>
  <si>
    <t>mpt_les_richardets_simulation_5</t>
  </si>
  <si>
    <t>mpt_les_richardets_simulation_6</t>
  </si>
  <si>
    <t>mpt_les_richardets_simulation_7</t>
  </si>
  <si>
    <t>mpt_les_richardets_simulation_8</t>
  </si>
  <si>
    <t>mpt_les_richardets_simulation_9</t>
  </si>
  <si>
    <t>mpt_les_richardets_simulation_10</t>
  </si>
  <si>
    <t>crèche_et_halte_du_marnois_ref_calibrated</t>
  </si>
  <si>
    <t>crèche_et_halte_du_marnois</t>
  </si>
  <si>
    <t>crèche_et_halte_du_marnois_simulation_1</t>
  </si>
  <si>
    <t>crèche_et_halte_du_marnois_simulation_2</t>
  </si>
  <si>
    <t>crèche_et_halte_du_marnois_simulation_3</t>
  </si>
  <si>
    <t>crèche_et_halte_du_marnois_simulation_4</t>
  </si>
  <si>
    <t>crèche_et_halte_du_marnois_simulation_5</t>
  </si>
  <si>
    <t>crèche_et_halte_du_marnois_simulation_6</t>
  </si>
  <si>
    <t>crèche_et_halte_du_marnois_simulation_7</t>
  </si>
  <si>
    <t>crèche_et_halte_du_marnois_simulation_8</t>
  </si>
  <si>
    <t>crèche_et_halte_du_marnois_simulation_9</t>
  </si>
  <si>
    <t>crèche_et_halte_du_marnois_simulation_10</t>
  </si>
  <si>
    <t>crèche_petit_prince_ref_calibrated</t>
  </si>
  <si>
    <t>crèche_petit_prince</t>
  </si>
  <si>
    <t>crèche_petit_prince_simulation_1</t>
  </si>
  <si>
    <t>crèche_petit_prince_simulation_2</t>
  </si>
  <si>
    <t>crèche_petit_prince_simulation_3</t>
  </si>
  <si>
    <t>crèche_petit_prince_simulation_4</t>
  </si>
  <si>
    <t>crèche_petit_prince_simulation_5</t>
  </si>
  <si>
    <t>crèche_petit_prince_simulation_6</t>
  </si>
  <si>
    <t>crèche_petit_prince_simulation_7</t>
  </si>
  <si>
    <t>stade_alain_mimoun_ref_calibrated</t>
  </si>
  <si>
    <t>stade_alain_mimoun</t>
  </si>
  <si>
    <t>G</t>
  </si>
  <si>
    <t>stade_alain_mimoun_simulation_1</t>
  </si>
  <si>
    <t>stade_alain_mimoun_simulation_2</t>
  </si>
  <si>
    <t>stade_alain_mimoun_simulation_3</t>
  </si>
  <si>
    <t>stade_alain_mimoun_simulation_4</t>
  </si>
  <si>
    <t>stade_alain_mimoun_simulation_5</t>
  </si>
  <si>
    <t>stade_alain_mimoun_simulation_6</t>
  </si>
  <si>
    <t>stade_alain_mimoun_simulation_7</t>
  </si>
  <si>
    <t>stade_alain_mimoun_simulation_8</t>
  </si>
  <si>
    <t>stade_alain_mimoun_simulation_9</t>
  </si>
  <si>
    <t>stade_alain_mimoun_simulation_10</t>
  </si>
  <si>
    <t>stade_suzanne_lenglen_ref_calibrated</t>
  </si>
  <si>
    <t>stade_suzanne_lenglen</t>
  </si>
  <si>
    <t>stade_suzanne_lenglen_simulation_1</t>
  </si>
  <si>
    <t>stade_suzanne_lenglen_simulation_2</t>
  </si>
  <si>
    <t>stade_suzanne_lenglen_simulation_3</t>
  </si>
  <si>
    <t>stade_suzanne_lenglen_simulation_4</t>
  </si>
  <si>
    <t>stade_suzanne_lenglen_simulation_5</t>
  </si>
  <si>
    <t>stade_suzanne_lenglen_simulation_6</t>
  </si>
  <si>
    <t>stade_suzanne_lenglen_simulation_7</t>
  </si>
  <si>
    <t>stade_suzanne_lenglen_simulation_8</t>
  </si>
  <si>
    <t>stade_suzanne_lenglen_simulation_9</t>
  </si>
  <si>
    <t>stade_suzanne_lenglen_simulation_10</t>
  </si>
  <si>
    <t>mpt_du_champy_ref_calibrated</t>
  </si>
  <si>
    <t>mpt_du_champy</t>
  </si>
  <si>
    <t>mpt_du_champy_simulation_1</t>
  </si>
  <si>
    <t>mpt_du_champy_simulation_2</t>
  </si>
  <si>
    <t>mpt_du_champy_simulation_3</t>
  </si>
  <si>
    <t>mpt_du_champy_simulation_4</t>
  </si>
  <si>
    <t>mpt_du_champy_simulation_5</t>
  </si>
  <si>
    <t>mpt_du_champy_simulation_6</t>
  </si>
  <si>
    <t>mpt_du_champy_simulation_7</t>
  </si>
  <si>
    <t>mpt_du_champy_simulation_8</t>
  </si>
  <si>
    <t>mpt_du_champy_simulation_9</t>
  </si>
  <si>
    <t>mpt_du_champy_simulation_10</t>
  </si>
  <si>
    <t>groupe_scolaire_samuel_wallis_ref_calibrated</t>
  </si>
  <si>
    <t>groupe_scolaire_samuel_wallis</t>
  </si>
  <si>
    <t>groupe_scolaire_simone_veil_office_simone_veil_salle_polyvalente_ref_calibrated</t>
  </si>
  <si>
    <t>groupe_scolaire_simone_veil_office_simone_veil_salle_polyvalente</t>
  </si>
  <si>
    <t>groupe_scolaire_l'oiseau_lyre_ref_calibrated</t>
  </si>
  <si>
    <t>groupe_scolaire_l'oiseau_lyre</t>
  </si>
  <si>
    <t>ateliers_municipaux_(ctm)_ref_calibrated</t>
  </si>
  <si>
    <t>ateliers_municipaux_(ctm)</t>
  </si>
  <si>
    <t>Administration</t>
  </si>
  <si>
    <t>ateliers_municipaux_(ctm)_simulation_1</t>
  </si>
  <si>
    <t>ateliers_municipaux_(ctm)_simulation_2</t>
  </si>
  <si>
    <t>ateliers_municipaux_(ctm)_simulation_3</t>
  </si>
  <si>
    <t>ateliers_municipaux_(ctm)_simulation_4</t>
  </si>
  <si>
    <t>ateliers_municipaux_(ctm)_simulation_5</t>
  </si>
  <si>
    <t>ateliers_municipaux_(ctm)_simulation_6</t>
  </si>
  <si>
    <t>ateliers_municipaux_(ctm)_simulation_7</t>
  </si>
  <si>
    <t>ateliers_municipaux_(ctm)_simulation_8</t>
  </si>
  <si>
    <t>ateliers_municipaux_(ctm)_simulation_9</t>
  </si>
  <si>
    <t>ateliers_municipaux_(ctm)_simulation_10</t>
  </si>
  <si>
    <t>cinéma_le_bijou_ref_calibrated</t>
  </si>
  <si>
    <t>cinéma_le_bijou</t>
  </si>
  <si>
    <t>cinéma_le_bijou_simulation_1</t>
  </si>
  <si>
    <t>cinéma_le_bijou_simulation_2</t>
  </si>
  <si>
    <t>cinéma_le_bijou_simulation_3</t>
  </si>
  <si>
    <t>cinéma_le_bijou_simulation_4</t>
  </si>
  <si>
    <t>cinéma_le_bijou_simulation_5</t>
  </si>
  <si>
    <t>cinéma_le_bijou_simulation_6</t>
  </si>
  <si>
    <t>cinéma_le_bijou_simulation_7</t>
  </si>
  <si>
    <t>multi_accueil_jean_piaget_ref_calibrated</t>
  </si>
  <si>
    <t>multi_accueil_jean_piaget</t>
  </si>
  <si>
    <t>multi_accueil_jean_piaget_simulation_1</t>
  </si>
  <si>
    <t>multi_accueil_jean_piaget_simulation_2</t>
  </si>
  <si>
    <t>multi_accueil_jean_piaget_simulation_3</t>
  </si>
  <si>
    <t>multi_accueil_jean_piaget_simulation_4</t>
  </si>
  <si>
    <t>multi_accueil_jean_piaget_simulation_5</t>
  </si>
  <si>
    <t>multi_accueil_jean_piaget_simulation_6</t>
  </si>
  <si>
    <t>multi_accueil_jean_piaget_simulation_7</t>
  </si>
  <si>
    <t>multi_accueil_jean_piaget_simulation_8</t>
  </si>
  <si>
    <t>multi_accueil_jean_piaget_simulation_9</t>
  </si>
  <si>
    <t>multi_accueil_jean_piaget_simulation_10</t>
  </si>
  <si>
    <t>stade_municipal_des_bords_de_marne_ref_calibrated</t>
  </si>
  <si>
    <t>stade_municipal_des_bords_de_marne</t>
  </si>
  <si>
    <t>stade_municipal_des_bords_de_marne_simulation_1</t>
  </si>
  <si>
    <t>stade_municipal_des_bords_de_marne_simulation_2</t>
  </si>
  <si>
    <t>stade_municipal_des_bords_de_marne_simulation_3</t>
  </si>
  <si>
    <t>stade_municipal_des_bords_de_marne_simulation_4</t>
  </si>
  <si>
    <t>stade_municipal_des_bords_de_marne_simulation_5</t>
  </si>
  <si>
    <t>stade_municipal_des_bords_de_marne_simulation_6</t>
  </si>
  <si>
    <t>stade_municipal_des_bords_de_marne_simulation_7</t>
  </si>
  <si>
    <t>stade_municipal_des_bords_de_marne_simulation_8</t>
  </si>
  <si>
    <t>stade_municipal_des_bords_de_marne_simulation_9</t>
  </si>
  <si>
    <t>stade_municipal_des_bords_de_marne_simulation_10</t>
  </si>
  <si>
    <t>crèche_robert_debré_ref_calibrated</t>
  </si>
  <si>
    <t>crèche_robert_debré</t>
  </si>
  <si>
    <t>crèche_robert_debré_simulation_1</t>
  </si>
  <si>
    <t>crèche_robert_debré_simulation_2</t>
  </si>
  <si>
    <t>crèche_robert_debré_simulation_3</t>
  </si>
  <si>
    <t>crèche_robert_debré_simulation_4</t>
  </si>
  <si>
    <t>crèche_robert_debré_simulation_5</t>
  </si>
  <si>
    <t>crèche_robert_debré_simulation_6</t>
  </si>
  <si>
    <t>crèche_robert_debré_simulation_7</t>
  </si>
  <si>
    <t>crèche_robert_debré_simulation_8</t>
  </si>
  <si>
    <t>crèche_robert_debré_simulation_9</t>
  </si>
  <si>
    <t>crèche_robert_debré_simulation_10</t>
  </si>
  <si>
    <t>crèche_familiale_du_champy_-_relais_des_assistances_maternelles_ref_calibrated</t>
  </si>
  <si>
    <t>crèche_familiale_du_champy_-_relais_des_assistances_maternelles</t>
  </si>
  <si>
    <t>crèche_familiale_du_champy_-_relais_des_assistances_maternelles_simulation_1</t>
  </si>
  <si>
    <t>crèche_familiale_du_champy_-_relais_des_assistances_maternelles_simulation_2</t>
  </si>
  <si>
    <t>crèche_familiale_du_champy_-_relais_des_assistances_maternelles_simulation_3</t>
  </si>
  <si>
    <t>crèche_familiale_du_champy_-_relais_des_assistances_maternelles_simulation_4</t>
  </si>
  <si>
    <t>crèche_familiale_du_champy_-_relais_des_assistances_maternelles_simulation_5</t>
  </si>
  <si>
    <t>crèche_familiale_du_champy_-_relais_des_assistances_maternelles_simulation_6</t>
  </si>
  <si>
    <t>crèche_familiale_du_champy_-_relais_des_assistances_maternelles_simulation_7</t>
  </si>
  <si>
    <t>crèche_familiale_du_champy_-_relais_des_assistances_maternelles_simulation_8</t>
  </si>
  <si>
    <t>crèche_familiale_du_champy_-_relais_des_assistances_maternelles_simulation_9</t>
  </si>
  <si>
    <t>crèche_familiale_du_champy_-_relais_des_assistances_maternelles_simulation_10</t>
  </si>
  <si>
    <t>maison_des_associations_ref_calibrated</t>
  </si>
  <si>
    <t>maison_des_associations</t>
  </si>
  <si>
    <t>centre_aquatique_les_nymphéas_ref_calibrated</t>
  </si>
  <si>
    <t>centre_aquatique_les_nymphéas</t>
  </si>
  <si>
    <t>centre_aquatique_les_nymphéas_simulation_1</t>
  </si>
  <si>
    <t>hôtel_de_ville_ref_calibrated</t>
  </si>
  <si>
    <t>hôtel_de_ville</t>
  </si>
  <si>
    <t>accueil_de_loisirs_maternel_la_varenne_ref_calibrated</t>
  </si>
  <si>
    <t>accueil_de_loisirs_maternel_la_varenne</t>
  </si>
  <si>
    <t>accueil_de_loisirs_maternel_la_varenne_simulation_1</t>
  </si>
  <si>
    <t>accueil_de_loisirs_maternel_la_varenne_simulation_2</t>
  </si>
  <si>
    <t>accueil_de_loisirs_maternel_la_varenne_simulation_3</t>
  </si>
  <si>
    <t>accueil_de_loisirs_maternel_la_varenne_simulation_4</t>
  </si>
  <si>
    <t>accueil_de_loisirs_maternel_la_varenne_simulation_5</t>
  </si>
  <si>
    <t>accueil_de_loisirs_maternel_la_varenne_simulation_6</t>
  </si>
  <si>
    <t>accueil_de_loisirs_maternel_la_varenne_simulation_7</t>
  </si>
  <si>
    <t>accueil_de_loisirs_maternel_la_varenne_simulation_8</t>
  </si>
  <si>
    <t>accueil_de_loisirs_maternel_la_varenne_simulation_9</t>
  </si>
  <si>
    <t>accueil_de_loisirs_maternel_la_varenne_simulation_10</t>
  </si>
  <si>
    <t>accueil_de_loisirs_maternel_la_varenne_simulation_11</t>
  </si>
  <si>
    <t>accueil_de_loisirs_maternel_la_varenne_simulation_12</t>
  </si>
  <si>
    <t>accueil_de_loisirs_maternel_la_varenne_simulation_13</t>
  </si>
  <si>
    <t>accueil_de_loisirs_maternel_la_varenne_simulation_14</t>
  </si>
  <si>
    <t>accueil_de_loisirs_maternel_la_varenne_simulation_15</t>
  </si>
  <si>
    <t>cdj_du_champy_ref_calibrated</t>
  </si>
  <si>
    <t>cdj_du_champy</t>
  </si>
  <si>
    <t>cdj_du_champy_simulation_1</t>
  </si>
  <si>
    <t>cdj_du_champy_simulation_2</t>
  </si>
  <si>
    <t>cdj_du_champy_simulation_3</t>
  </si>
  <si>
    <t>cdj_du_champy_simulation_4</t>
  </si>
  <si>
    <t>cdj_du_champy_simulation_5</t>
  </si>
  <si>
    <t>cdj_du_champy_simulation_6</t>
  </si>
  <si>
    <t>cdj_du_champy_simulation_7</t>
  </si>
  <si>
    <t>cdj_du_champy_simulation_8</t>
  </si>
  <si>
    <t>cdj_du_champy_simulation_9</t>
  </si>
  <si>
    <t>cdj_du_champy_simulation_10</t>
  </si>
  <si>
    <t>cdj_du_champy_simulation_11</t>
  </si>
  <si>
    <t>cdj_du_champy_simulation_12</t>
  </si>
  <si>
    <t>cdj_du_champy_simulation_13</t>
  </si>
  <si>
    <t>cdj_du_champy_simulation_14</t>
  </si>
  <si>
    <t>cdj_du_champy_simulation_15</t>
  </si>
  <si>
    <t>cdj_du_pave_neuf_ref_calibrated</t>
  </si>
  <si>
    <t>cdj_du_pave_neuf</t>
  </si>
  <si>
    <t>cdj_du_pave_neuf_simulation_1</t>
  </si>
  <si>
    <t>cdj_du_pave_neuf_simulation_2</t>
  </si>
  <si>
    <t>cdj_du_pave_neuf_simulation_3</t>
  </si>
  <si>
    <t>cdj_du_pave_neuf_simulation_4</t>
  </si>
  <si>
    <t>cdj_du_pave_neuf_simulation_5</t>
  </si>
  <si>
    <t>cdj_du_pave_neuf_simulation_6</t>
  </si>
  <si>
    <t>cdj_du_pave_neuf_simulation_7</t>
  </si>
  <si>
    <t>cdj_du_pave_neuf_simulation_8</t>
  </si>
  <si>
    <t>cdj_du_pave_neuf_simulation_9</t>
  </si>
  <si>
    <t>cdj_du_pave_neuf_simulation_10</t>
  </si>
  <si>
    <t>cdj_du_pave_neuf_simulation_11</t>
  </si>
  <si>
    <t>cdj_du_pave_neuf_simulation_12</t>
  </si>
  <si>
    <t>cdj_du_pave_neuf_simulation_13</t>
  </si>
  <si>
    <t>cdj_du_pave_neuf_simulation_14</t>
  </si>
  <si>
    <t>cdj_du_pave_neuf_simulation_15</t>
  </si>
  <si>
    <t>emaus_1_et__2_ref_calibrated</t>
  </si>
  <si>
    <t>emaus_1_et__2</t>
  </si>
  <si>
    <t>emaus_1_et__2_simulation_1</t>
  </si>
  <si>
    <t>emaus_1_et__2_simulation_2</t>
  </si>
  <si>
    <t>emaus_1_et__2_simulation_3</t>
  </si>
  <si>
    <t>emaus_1_et__2_simulation_4</t>
  </si>
  <si>
    <t>emaus_1_et__2_simulation_5</t>
  </si>
  <si>
    <t>emaus_1_et__2_simulation_6</t>
  </si>
  <si>
    <t>emaus_1_et__2_simulation_7</t>
  </si>
  <si>
    <t>emaus_1_et__2_simulation_8</t>
  </si>
  <si>
    <t>emaus_1_et__2_simulation_9</t>
  </si>
  <si>
    <t>emaus_1_et__2_simulation_10</t>
  </si>
  <si>
    <t>emaus_1_et__2_simulation_11</t>
  </si>
  <si>
    <t>emaus_1_et__2_simulation_12</t>
  </si>
  <si>
    <t>emaus_1_et__2_simulation_13</t>
  </si>
  <si>
    <t>emaus_1_et__2_simulation_14</t>
  </si>
  <si>
    <t>emaus_1_et__2_simulation_15</t>
  </si>
  <si>
    <t>maison_medicale_du_champy_ref_calibrated</t>
  </si>
  <si>
    <t>maison_medicale_du_champy</t>
  </si>
  <si>
    <t>maison_medicale_du_champy_simulation_1</t>
  </si>
  <si>
    <t>maison_medicale_du_champy_simulation_2</t>
  </si>
  <si>
    <t>maison_medicale_du_champy_simulation_3</t>
  </si>
  <si>
    <t>maison_medicale_du_champy_simulation_4</t>
  </si>
  <si>
    <t>maison_medicale_du_champy_simulation_5</t>
  </si>
  <si>
    <t>maison_medicale_du_champy_simulation_6</t>
  </si>
  <si>
    <t>maison_medicale_du_champy_simulation_7</t>
  </si>
  <si>
    <t>maison_medicale_du_champy_simulation_8</t>
  </si>
  <si>
    <t>maison_medicale_du_champy_simulation_9</t>
  </si>
  <si>
    <t>maison_medicale_du_champy_simulation_10</t>
  </si>
  <si>
    <t>maison_medicale_du_champy_simulation_11</t>
  </si>
  <si>
    <t>maison_medicale_du_champy_simulation_12</t>
  </si>
  <si>
    <t>maison_medicale_du_champy_simulation_13</t>
  </si>
  <si>
    <t>maison_medicale_du_champy_simulation_14</t>
  </si>
  <si>
    <t>maison_medicale_du_champy_simulation_15</t>
  </si>
  <si>
    <t>medecine_du_travail_ref_calibrated</t>
  </si>
  <si>
    <t>medecine_du_travail</t>
  </si>
  <si>
    <t>medecine_du_travail_simulation_1</t>
  </si>
  <si>
    <t>medecine_du_travail_simulation_2</t>
  </si>
  <si>
    <t>medecine_du_travail_simulation_3</t>
  </si>
  <si>
    <t>medecine_du_travail_simulation_4</t>
  </si>
  <si>
    <t>medecine_du_travail_simulation_5</t>
  </si>
  <si>
    <t>medecine_du_travail_simulation_6</t>
  </si>
  <si>
    <t>medecine_du_travail_simulation_7</t>
  </si>
  <si>
    <t>medecine_du_travail_simulation_8</t>
  </si>
  <si>
    <t>medecine_du_travail_simulation_9</t>
  </si>
  <si>
    <t>medecine_du_travail_simulation_10</t>
  </si>
  <si>
    <t>medecine_du_travail_simulation_11</t>
  </si>
  <si>
    <t>medecine_du_travail_simulation_12</t>
  </si>
  <si>
    <t>medecine_du_travail_simulation_13</t>
  </si>
  <si>
    <t>medecine_du_travail_simulation_14</t>
  </si>
  <si>
    <t>medecine_du_travail_simulation_15</t>
  </si>
  <si>
    <t>maison_des_services_publics_-_pimms_ref_calibrated</t>
  </si>
  <si>
    <t>maison_des_services_publics_-_pimms</t>
  </si>
  <si>
    <t>maison_des_services_publics_-_pimms_simulation_1</t>
  </si>
  <si>
    <t>maison_des_services_publics_-_pimms_simulation_2</t>
  </si>
  <si>
    <t>maison_des_services_publics_-_pimms_simulation_3</t>
  </si>
  <si>
    <t>maison_des_services_publics_-_pimms_simulation_4</t>
  </si>
  <si>
    <t>maison_des_services_publics_-_pimms_simulation_5</t>
  </si>
  <si>
    <t>maison_des_services_publics_-_pimms_simulation_6</t>
  </si>
  <si>
    <t>maison_des_services_publics_-_pimms_simulation_7</t>
  </si>
  <si>
    <t>maison_des_services_publics_-_pimms_simulation_8</t>
  </si>
  <si>
    <t>maison_des_services_publics_-_pimms_simulation_9</t>
  </si>
  <si>
    <t>maison_des_services_publics_-_pimms_simulation_10</t>
  </si>
  <si>
    <t>maison_des_services_publics_-_pimms_simulation_11</t>
  </si>
  <si>
    <t>maison_des_services_publics_-_pimms_simulation_12</t>
  </si>
  <si>
    <t>maison_des_services_publics_-_pimms_simulation_13</t>
  </si>
  <si>
    <t>maison_des_services_publics_-_pimms_simulation_14</t>
  </si>
  <si>
    <t>maison_des_services_publics_-_pimms_simulation_15</t>
  </si>
  <si>
    <t>mille_club_des_yvris_ref_calibrated</t>
  </si>
  <si>
    <t>mille_club_des_yvris</t>
  </si>
  <si>
    <t>mille_club_des_yvris_simulation_1</t>
  </si>
  <si>
    <t>mille_club_des_yvris_simulation_2</t>
  </si>
  <si>
    <t>mille_club_des_yvris_simulation_3</t>
  </si>
  <si>
    <t>mille_club_des_yvris_simulation_4</t>
  </si>
  <si>
    <t>mille_club_des_yvris_simulation_5</t>
  </si>
  <si>
    <t>mille_club_des_yvris_simulation_6</t>
  </si>
  <si>
    <t>mille_club_des_yvris_simulation_7</t>
  </si>
  <si>
    <t>mille_club_des_yvris_simulation_8</t>
  </si>
  <si>
    <t>mille_club_des_yvris_simulation_9</t>
  </si>
  <si>
    <t>mille_club_des_yvris_simulation_10</t>
  </si>
  <si>
    <t>mille_club_des_yvris_simulation_11</t>
  </si>
  <si>
    <t>mille_club_des_yvris_simulation_12</t>
  </si>
  <si>
    <t>mille_club_des_yvris_simulation_13</t>
  </si>
  <si>
    <t>mille_club_des_yvris_simulation_14</t>
  </si>
  <si>
    <t>mille_club_des_yvris_simulation_15</t>
  </si>
  <si>
    <t>mpt_des_coteaux_ref_calibrated</t>
  </si>
  <si>
    <t>mpt_des_coteaux</t>
  </si>
  <si>
    <t>mpt_des_coteaux_simulation_1</t>
  </si>
  <si>
    <t>mpt_des_coteaux_simulation_2</t>
  </si>
  <si>
    <t>mpt_des_coteaux_simulation_3</t>
  </si>
  <si>
    <t>mpt_des_coteaux_simulation_4</t>
  </si>
  <si>
    <t>mpt_des_coteaux_simulation_5</t>
  </si>
  <si>
    <t>mpt_des_coteaux_simulation_6</t>
  </si>
  <si>
    <t>mpt_des_coteaux_simulation_7</t>
  </si>
  <si>
    <t>mpt_des_coteaux_simulation_8</t>
  </si>
  <si>
    <t>mpt_des_coteaux_simulation_9</t>
  </si>
  <si>
    <t>mpt_des_coteaux_simulation_10</t>
  </si>
  <si>
    <t>mpt_des_coteaux_simulation_11</t>
  </si>
  <si>
    <t>mpt_des_coteaux_simulation_12</t>
  </si>
  <si>
    <t>mpt_des_coteaux_simulation_13</t>
  </si>
  <si>
    <t>mpt_des_coteaux_simulation_14</t>
  </si>
  <si>
    <t>mpt_des_coteaux_simulation_15</t>
  </si>
  <si>
    <t>mpt_jardin_des_sources_-_annexe_maison_pour_tous_ref_calibrated</t>
  </si>
  <si>
    <t>mpt_jardin_des_sources_-_annexe_maison_pour_tous</t>
  </si>
  <si>
    <t>mpt_jardin_des_sources_-_annexe_maison_pour_tous_simulation_1</t>
  </si>
  <si>
    <t>mpt_jardin_des_sources_-_annexe_maison_pour_tous_simulation_2</t>
  </si>
  <si>
    <t>mpt_jardin_des_sources_-_annexe_maison_pour_tous_simulation_3</t>
  </si>
  <si>
    <t>mpt_jardin_des_sources_-_annexe_maison_pour_tous_simulation_4</t>
  </si>
  <si>
    <t>mpt_jardin_des_sources_-_annexe_maison_pour_tous_simulation_5</t>
  </si>
  <si>
    <t>mpt_jardin_des_sources_-_annexe_maison_pour_tous_simulation_6</t>
  </si>
  <si>
    <t>mpt_jardin_des_sources_-_annexe_maison_pour_tous_simulation_7</t>
  </si>
  <si>
    <t>mpt_jardin_des_sources_-_annexe_maison_pour_tous_simulation_8</t>
  </si>
  <si>
    <t>mpt_jardin_des_sources_-_annexe_maison_pour_tous_simulation_9</t>
  </si>
  <si>
    <t>mpt_jardin_des_sources_-_annexe_maison_pour_tous_simulation_10</t>
  </si>
  <si>
    <t>mpt_jardin_des_sources_-_annexe_maison_pour_tous_simulation_11</t>
  </si>
  <si>
    <t>mpt_jardin_des_sources_-_annexe_maison_pour_tous_simulation_12</t>
  </si>
  <si>
    <t>mpt_jardin_des_sources_-_annexe_maison_pour_tous_simulation_13</t>
  </si>
  <si>
    <t>mpt_jardin_des_sources_-_annexe_maison_pour_tous_simulation_14</t>
  </si>
  <si>
    <t>mpt_jardin_des_sources_-_annexe_maison_pour_tous_simulation_15</t>
  </si>
  <si>
    <t>salle_de_boxe_ref_calibrated</t>
  </si>
  <si>
    <t>salle_de_boxe</t>
  </si>
  <si>
    <t>salle_de_boxe_simulation_1</t>
  </si>
  <si>
    <t>salle_de_boxe_simulation_2</t>
  </si>
  <si>
    <t>salle_de_boxe_simulation_3</t>
  </si>
  <si>
    <t>salle_de_boxe_simulation_4</t>
  </si>
  <si>
    <t>salle_de_boxe_simulation_5</t>
  </si>
  <si>
    <t>salle_de_boxe_simulation_6</t>
  </si>
  <si>
    <t>salle_de_boxe_simulation_7</t>
  </si>
  <si>
    <t>salle_de_boxe_simulation_8</t>
  </si>
  <si>
    <t>salle_de_boxe_simulation_9</t>
  </si>
  <si>
    <t>salle_de_boxe_simulation_10</t>
  </si>
  <si>
    <t>salle_de_boxe_simulation_11</t>
  </si>
  <si>
    <t>salle_polyvalente_stephan_hessel_ref_calibrated</t>
  </si>
  <si>
    <t>salle_polyvalente_stephan_hessel</t>
  </si>
  <si>
    <t>salle_polyvalente_stephan_hessel_simulation_1</t>
  </si>
  <si>
    <t>salle_polyvalente_stephan_hessel_simulation_2</t>
  </si>
  <si>
    <t>salle_polyvalente_stephan_hessel_simulation_3</t>
  </si>
  <si>
    <t>salle_polyvalente_stephan_hessel_simulation_4</t>
  </si>
  <si>
    <t>salle_polyvalente_stephan_hessel_simulation_5</t>
  </si>
  <si>
    <t>salle_polyvalente_stephan_hessel_simulation_6</t>
  </si>
  <si>
    <t>salle_polyvalente_stephan_hessel_simulation_7</t>
  </si>
  <si>
    <t>salle_polyvalente_stephan_hessel_simulation_8</t>
  </si>
  <si>
    <t>salle_polyvalente_stephan_hessel_simulation_9</t>
  </si>
  <si>
    <t>salle_polyvalente_stephan_hessel_simulation_10</t>
  </si>
  <si>
    <t>salle_polyvalente_stephan_hessel_simulation_11</t>
  </si>
  <si>
    <t>salle_polyvalente_stephan_hessel_simulation_12</t>
  </si>
  <si>
    <t>salle_polyvalente_stephan_hessel_simulation_13</t>
  </si>
  <si>
    <t>salle_polyvalente_stephan_hessel_simulation_14</t>
  </si>
  <si>
    <t>salle_polyvalente_stephan_hessel_simulation_15</t>
  </si>
  <si>
    <t>noisy_connecte_ref_calibrated</t>
  </si>
  <si>
    <t>noisy_connecte</t>
  </si>
  <si>
    <t>noisy_connecte_simulation_1</t>
  </si>
  <si>
    <t>noisy_connecte_simulation_2</t>
  </si>
  <si>
    <t>noisy_connecte_simulation_3</t>
  </si>
  <si>
    <t>noisy_connecte_simulation_4</t>
  </si>
  <si>
    <t>noisy_connecte_simulation_5</t>
  </si>
  <si>
    <t>noisy_connecte_simulation_6</t>
  </si>
  <si>
    <t>noisy_connecte_simulation_7</t>
  </si>
  <si>
    <t>noisy_connecte_simulation_8</t>
  </si>
  <si>
    <t>noisy_connecte_simulation_9</t>
  </si>
  <si>
    <t>noisy_connecte_simulation_10</t>
  </si>
  <si>
    <t>noisy_connecte_simulation_11</t>
  </si>
  <si>
    <t>noisy_connecte_simulation_12</t>
  </si>
  <si>
    <t>noisy_connecte_simulation_13</t>
  </si>
  <si>
    <t>noisy_connecte_simulation_14</t>
  </si>
  <si>
    <t>noisy_connecte_simulation_15</t>
  </si>
  <si>
    <t>association_31_rue_gambetta_ref_calibrated</t>
  </si>
  <si>
    <t>association_31_rue_gambetta</t>
  </si>
  <si>
    <t>association_31_rue_gambetta_simulation_1</t>
  </si>
  <si>
    <t>association_31_rue_gambetta_simulation_2</t>
  </si>
  <si>
    <t>association_31_rue_gambetta_simulation_3</t>
  </si>
  <si>
    <t>association_31_rue_gambetta_simulation_4</t>
  </si>
  <si>
    <t>association_31_rue_gambetta_simulation_5</t>
  </si>
  <si>
    <t>association_31_rue_gambetta_simulation_6</t>
  </si>
  <si>
    <t>association_31_rue_gambetta_simulation_7</t>
  </si>
  <si>
    <t>association_31_rue_gambetta_simulation_8</t>
  </si>
  <si>
    <t>association_31_rue_gambetta_simulation_9</t>
  </si>
  <si>
    <t>association_31_rue_gambetta_simulation_10</t>
  </si>
  <si>
    <t>association_31_rue_gambetta_simulation_11</t>
  </si>
  <si>
    <t>association_31_rue_gambetta_simulation_12</t>
  </si>
  <si>
    <t>association_31_rue_gambetta_simulation_13</t>
  </si>
  <si>
    <t>association_31_rue_gambetta_simulation_14</t>
  </si>
  <si>
    <t>association_31_rue_gambetta_simulation_15</t>
  </si>
  <si>
    <t>tir_a_l'arc_ref_calibrated</t>
  </si>
  <si>
    <t>tir_a_l'arc</t>
  </si>
  <si>
    <t>tir_a_l'arc_simulation_1</t>
  </si>
  <si>
    <t>tir_a_l'arc_simulation_2</t>
  </si>
  <si>
    <t>tir_a_l'arc_simulation_3</t>
  </si>
  <si>
    <t>tir_a_l'arc_simulation_4</t>
  </si>
  <si>
    <t>tir_a_l'arc_simulation_5</t>
  </si>
  <si>
    <t>tir_a_l'arc_simulation_6</t>
  </si>
  <si>
    <t>tir_a_l'arc_simulation_7</t>
  </si>
  <si>
    <t>tir_a_l'arc_simulation_8</t>
  </si>
  <si>
    <t>tir_a_l'arc_simulation_9</t>
  </si>
  <si>
    <t>tir_a_l'arc_simulation_10</t>
  </si>
  <si>
    <t>tir_a_l'arc_simulation_11</t>
  </si>
  <si>
    <t>tir_a_l'arc_simulation_12</t>
  </si>
  <si>
    <t>tir_a_l'arc_simulation_13</t>
  </si>
  <si>
    <t>tir_a_l'arc_simulation_14</t>
  </si>
  <si>
    <t>tir_a_l'arc_simulation_15</t>
  </si>
  <si>
    <t>creche_multi_accueil_des_farfadets_ref_calibrated</t>
  </si>
  <si>
    <t>creche_multi_accueil_des_farfadets</t>
  </si>
  <si>
    <t>creche_multi_accueil_des_farfadets_simulation_1</t>
  </si>
  <si>
    <t>creche_multi_accueil_des_farfadets_simulation_2</t>
  </si>
  <si>
    <t>creche_multi_accueil_des_farfadets_simulation_3</t>
  </si>
  <si>
    <t>creche_multi_accueil_des_farfadets_simulation_4</t>
  </si>
  <si>
    <t>creche_multi_accueil_des_farfadets_simulation_5</t>
  </si>
  <si>
    <t>creche_multi_accueil_des_farfadets_simulation_6</t>
  </si>
  <si>
    <t>creche_multi_accueil_des_farfadets_simulation_7</t>
  </si>
  <si>
    <t>creche_multi_accueil_des_farfadets_simulation_8</t>
  </si>
  <si>
    <t>creche_multi_accueil_des_farfadets_simulation_9</t>
  </si>
  <si>
    <t>maison_de_la_jeunesse_ref_calibrated</t>
  </si>
  <si>
    <t>maison_de_la_jeunesse</t>
  </si>
  <si>
    <t>maison_de_la_jeunesse_simulation_1</t>
  </si>
  <si>
    <t>maison_de_la_jeunesse_simulation_2</t>
  </si>
  <si>
    <t>maison_de_la_jeunesse_simulation_3</t>
  </si>
  <si>
    <t>maison_de_la_jeunesse_simulation_4</t>
  </si>
  <si>
    <t>maison_de_la_jeunesse_simulation_5</t>
  </si>
  <si>
    <t>maison_de_la_jeunesse_simulation_6</t>
  </si>
  <si>
    <t>maison_de_la_jeunesse_simulation_7</t>
  </si>
  <si>
    <t>maison_de_la_jeunesse_simulation_8</t>
  </si>
  <si>
    <t>maison_de_la_jeunesse_simulation_9</t>
  </si>
  <si>
    <t>maison_de_la_jeunesse_simulation_10</t>
  </si>
  <si>
    <t>maison_de_la_jeunesse_simulation_11</t>
  </si>
  <si>
    <t>maison_de_la_jeunesse_simulation_12</t>
  </si>
  <si>
    <t>maison_de_la_jeunesse_simulation_13</t>
  </si>
  <si>
    <t>maison_de_la_jeunesse_simulation_14</t>
  </si>
  <si>
    <t>maison_de_la_jeunesse_simulation_15</t>
  </si>
  <si>
    <t>maison_des_syndicats_ref_calibrated</t>
  </si>
  <si>
    <t>maison_des_syndicats</t>
  </si>
  <si>
    <t>maison_des_syndicats_simulation_1</t>
  </si>
  <si>
    <t>maison_des_syndicats_simulation_2</t>
  </si>
  <si>
    <t>maison_des_syndicats_simulation_3</t>
  </si>
  <si>
    <t>maison_des_syndicats_simulation_4</t>
  </si>
  <si>
    <t>maison_des_syndicats_simulation_5</t>
  </si>
  <si>
    <t>maison_des_syndicats_simulation_6</t>
  </si>
  <si>
    <t>maison_des_syndicats_simulation_7</t>
  </si>
  <si>
    <t>maison_des_syndicats_simulation_8</t>
  </si>
  <si>
    <t>maison_des_syndicats_simulation_9</t>
  </si>
  <si>
    <t>maison_des_syndicats_simulation_10</t>
  </si>
  <si>
    <t>maison_des_syndicats_simulation_11</t>
  </si>
  <si>
    <t>maison_des_syndicats_simulation_12</t>
  </si>
  <si>
    <t>maison_des_syndicats_simulation_13</t>
  </si>
  <si>
    <t>maison_des_syndicats_simulation_14</t>
  </si>
  <si>
    <t>maison_des_syndicats_simulation_15</t>
  </si>
  <si>
    <t>base_de_canoe_kayak_ref_calibrated</t>
  </si>
  <si>
    <t>base_de_canoe_kayak</t>
  </si>
  <si>
    <t>base_de_canoe_kayak_simulation_1</t>
  </si>
  <si>
    <t>base_de_canoe_kayak_simulation_2</t>
  </si>
  <si>
    <t>base_de_canoe_kayak_simulation_3</t>
  </si>
  <si>
    <t>base_de_canoe_kayak_simulation_4</t>
  </si>
  <si>
    <t>base_de_canoe_kayak_simulation_5</t>
  </si>
  <si>
    <t>base_de_canoe_kayak_simulation_6</t>
  </si>
  <si>
    <t>base_de_canoe_kayak_simulation_7</t>
  </si>
  <si>
    <t>base_de_canoe_kayak_simulation_8</t>
  </si>
  <si>
    <t>base_de_canoe_kayak_simulation_9</t>
  </si>
  <si>
    <t>base_de_canoe_kayak_simulation_10</t>
  </si>
  <si>
    <t>base_de_canoe_kayak_simulation_11</t>
  </si>
  <si>
    <t>base_de_canoe_kayak_simulation_12</t>
  </si>
  <si>
    <t>base_de_canoe_kayak_simulation_13</t>
  </si>
  <si>
    <t>base_de_canoe_kayak_simulation_14</t>
  </si>
  <si>
    <t>base_de_canoe_kayak_simulation_15</t>
  </si>
  <si>
    <t>abri_bouliste_ref_calibrated</t>
  </si>
  <si>
    <t>abri_bouliste</t>
  </si>
  <si>
    <t>abri_bouliste_simulation_1</t>
  </si>
  <si>
    <t>abri_bouliste_simulation_2</t>
  </si>
  <si>
    <t>abri_bouliste_simulation_3</t>
  </si>
  <si>
    <t>abri_bouliste_simulation_4</t>
  </si>
  <si>
    <t>abri_bouliste_simulation_5</t>
  </si>
  <si>
    <t>abri_bouliste_simulation_6</t>
  </si>
  <si>
    <t>abri_bouliste_simulation_7</t>
  </si>
  <si>
    <t>abri_bouliste_simulation_8</t>
  </si>
  <si>
    <t>abri_bouliste_simulation_9</t>
  </si>
  <si>
    <t>abri_bouliste_simulation_10</t>
  </si>
  <si>
    <t>abri_bouliste_simulation_11</t>
  </si>
  <si>
    <t>abri_bouliste_simulation_12</t>
  </si>
  <si>
    <t>abri_bouliste_simulation_13</t>
  </si>
  <si>
    <t>abri_bouliste_simulation_14</t>
  </si>
  <si>
    <t>abri_bouliste_simulation_15</t>
  </si>
  <si>
    <t>bureaux_21_rue_des_sports_ref_calibrated</t>
  </si>
  <si>
    <t>bureaux_21_rue_des_sports</t>
  </si>
  <si>
    <t>bureaux_21_rue_des_sports_simulation_1</t>
  </si>
  <si>
    <t>bureaux_21_rue_des_sports_simulation_2</t>
  </si>
  <si>
    <t>bureaux_21_rue_des_sports_simulation_3</t>
  </si>
  <si>
    <t>bureaux_21_rue_des_sports_simulation_4</t>
  </si>
  <si>
    <t>bureaux_21_rue_des_sports_simulation_5</t>
  </si>
  <si>
    <t>bureaux_21_rue_des_sports_simulation_6</t>
  </si>
  <si>
    <t>bureaux_21_rue_des_sports_simulation_7</t>
  </si>
  <si>
    <t>bureaux_21_rue_des_sports_simulation_8</t>
  </si>
  <si>
    <t>bureaux_21_rue_des_sports_simulation_9</t>
  </si>
  <si>
    <t>bureaux_21_rue_des_sports_simulation_10</t>
  </si>
  <si>
    <t>bureaux_21_rue_des_sports_simulation_11</t>
  </si>
  <si>
    <t>bureaux_21_rue_des_sports_simulation_12</t>
  </si>
  <si>
    <t>bureaux_21_rue_des_sports_simulation_13</t>
  </si>
  <si>
    <t>bureaux_21_rue_des_sports_simulation_14</t>
  </si>
  <si>
    <t>bureaux_21_rue_des_sports_simulation_15</t>
  </si>
  <si>
    <t>centre_horticole_ref_calibrated</t>
  </si>
  <si>
    <t>centre_horticole</t>
  </si>
  <si>
    <t>centre_horticole_simulation_1</t>
  </si>
  <si>
    <t>centre_horticole_simulation_2</t>
  </si>
  <si>
    <t>centre_horticole_simulation_3</t>
  </si>
  <si>
    <t>centre_horticole_simulation_4</t>
  </si>
  <si>
    <t>centre_horticole_simulation_5</t>
  </si>
  <si>
    <t>centre_horticole_simulation_6</t>
  </si>
  <si>
    <t>centre_horticole_simulation_7</t>
  </si>
  <si>
    <t>centre_horticole_simulation_8</t>
  </si>
  <si>
    <t>centre_horticole_simulation_9</t>
  </si>
  <si>
    <t>centre_horticole_simulation_10</t>
  </si>
  <si>
    <t>centre_horticole_simulation_11</t>
  </si>
  <si>
    <t>centre_horticole_simulation_12</t>
  </si>
  <si>
    <t>centre_horticole_simulation_13</t>
  </si>
  <si>
    <t>centre_horticole_simulation_14</t>
  </si>
  <si>
    <t>centre_horticole_simulation_15</t>
  </si>
  <si>
    <t>club_ricardo_bofil_ref_calibrated</t>
  </si>
  <si>
    <t>club_ricardo_bofil</t>
  </si>
  <si>
    <t>club_ricardo_bofil_simulation_1</t>
  </si>
  <si>
    <t>club_ricardo_bofil_simulation_2</t>
  </si>
  <si>
    <t>club_ricardo_bofil_simulation_3</t>
  </si>
  <si>
    <t>club_ricardo_bofil_simulation_4</t>
  </si>
  <si>
    <t>club_ricardo_bofil_simulation_5</t>
  </si>
  <si>
    <t>club_ricardo_bofil_simulation_6</t>
  </si>
  <si>
    <t>club_ricardo_bofil_simulation_7</t>
  </si>
  <si>
    <t>déchèterie_municipale_ref_calibrated</t>
  </si>
  <si>
    <t>déchèterie_municipale</t>
  </si>
  <si>
    <t>déchèterie_municipale_simulation_1</t>
  </si>
  <si>
    <t>déchèterie_municipale_simulation_2</t>
  </si>
  <si>
    <t>déchèterie_municipale_simulation_3</t>
  </si>
  <si>
    <t>déchèterie_municipale_simulation_4</t>
  </si>
  <si>
    <t>déchèterie_municipale_simulation_5</t>
  </si>
  <si>
    <t>déchèterie_municipale_simulation_6</t>
  </si>
  <si>
    <t>déchèterie_municipale_simulation_7</t>
  </si>
  <si>
    <t>déchèterie_municipale_simulation_8</t>
  </si>
  <si>
    <t>déchèterie_municipale_simulation_9</t>
  </si>
  <si>
    <t>déchèterie_municipale_simulation_10</t>
  </si>
  <si>
    <t>déchèterie_municipale_simulation_11</t>
  </si>
  <si>
    <t>déchèterie_municipale_simulation_12</t>
  </si>
  <si>
    <t>déchèterie_municipale_simulation_13</t>
  </si>
  <si>
    <t>déchèterie_municipale_simulation_14</t>
  </si>
  <si>
    <t>déchèterie_municipale_simulation_15</t>
  </si>
  <si>
    <t>hangar_bleu_ref_calibrated</t>
  </si>
  <si>
    <t>hangar_bleu</t>
  </si>
  <si>
    <t>hangar_bleu_simulation_1</t>
  </si>
  <si>
    <t>hangar_bleu_simulation_2</t>
  </si>
  <si>
    <t>hangar_bleu_simulation_3</t>
  </si>
  <si>
    <t>hangar_bleu_simulation_4</t>
  </si>
  <si>
    <t>hangar_bleu_simulation_5</t>
  </si>
  <si>
    <t>hangar_bleu_simulation_6</t>
  </si>
  <si>
    <t>hangar_bleu_simulation_7</t>
  </si>
  <si>
    <t>hangar_bleu_simulation_8</t>
  </si>
  <si>
    <t>hangar_bleu_simulation_9</t>
  </si>
  <si>
    <t>hangar_bleu_simulation_10</t>
  </si>
  <si>
    <t>hangar_bleu_simulation_11</t>
  </si>
  <si>
    <t>hangar_bleu_simulation_12</t>
  </si>
  <si>
    <t>hangar_bleu_simulation_13</t>
  </si>
  <si>
    <t>hangar_bleu_simulation_14</t>
  </si>
  <si>
    <t>hangar_bleu_simulation_15</t>
  </si>
  <si>
    <t>local_associatif_pablo_picasso_ref_calibrated</t>
  </si>
  <si>
    <t>local_associatif_pablo_picasso</t>
  </si>
  <si>
    <t>local_associatif_pablo_picasso_simulation_1</t>
  </si>
  <si>
    <t>local_associatif_pablo_picasso_simulation_2</t>
  </si>
  <si>
    <t>local_associatif_pablo_picasso_simulation_3</t>
  </si>
  <si>
    <t>local_associatif_pablo_picasso_simulation_4</t>
  </si>
  <si>
    <t>local_associatif_pablo_picasso_simulation_5</t>
  </si>
  <si>
    <t>local_associatif_pablo_picasso_simulation_6</t>
  </si>
  <si>
    <t>local_associatif_pablo_picasso_simulation_7</t>
  </si>
  <si>
    <t>local_associatif_pablo_picasso_simulation_8</t>
  </si>
  <si>
    <t>local_associatif_pablo_picasso_simulation_9</t>
  </si>
  <si>
    <t>local_associatif_pablo_picasso_simulation_10</t>
  </si>
  <si>
    <t>local_associatif_pablo_picasso_simulation_11</t>
  </si>
  <si>
    <t>local_associatif_pablo_picasso_simulation_12</t>
  </si>
  <si>
    <t>local_associatif_pablo_picasso_simulation_13</t>
  </si>
  <si>
    <t>local_associatif_pablo_picasso_simulation_14</t>
  </si>
  <si>
    <t>local_associatif_pablo_picasso_simulation_15</t>
  </si>
  <si>
    <t>cimetiere_nouveau_ref_calibrated</t>
  </si>
  <si>
    <t>cimetiere_nouveau</t>
  </si>
  <si>
    <t>cimetiere_nouveau_simulation_1</t>
  </si>
  <si>
    <t>cimetiere_nouveau_simulation_2</t>
  </si>
  <si>
    <t>cimetiere_nouveau_simulation_3</t>
  </si>
  <si>
    <t>cimetiere_nouveau_simulation_4</t>
  </si>
  <si>
    <t>cimetiere_nouveau_simulation_5</t>
  </si>
  <si>
    <t>cimetiere_nouveau_simulation_6</t>
  </si>
  <si>
    <t>cimetiere_nouveau_simulation_7</t>
  </si>
  <si>
    <t>cimetiere_nouveau_simulation_8</t>
  </si>
  <si>
    <t>cimetiere_nouveau_simulation_9</t>
  </si>
  <si>
    <t>cimetiere_nouveau_simulation_10</t>
  </si>
  <si>
    <t>cimetiere_nouveau_simulation_11</t>
  </si>
  <si>
    <t>cimetiere_nouveau_simulation_12</t>
  </si>
  <si>
    <t>cimetiere_nouveau_simulation_13</t>
  </si>
  <si>
    <t>cimetiere_nouveau_simulation_14</t>
  </si>
  <si>
    <t>cimetiere_nouveau_simulation_15</t>
  </si>
  <si>
    <t>cout_gaz_euros</t>
  </si>
  <si>
    <t>Champs</t>
  </si>
  <si>
    <t>Description</t>
  </si>
  <si>
    <t xml:space="preserve">ID de la simulation. Si le nom "calibrated" est présent, alors il s'agit des informations du bâtiment de base, sans rénovation, pour comparaison avec les autres simulations. </t>
  </si>
  <si>
    <t>Nom du site de la simulation</t>
  </si>
  <si>
    <t>Typologie du site au sens du DPE tertiaire</t>
  </si>
  <si>
    <t>Etiquette DPE energie au sens du DPE tertiaire</t>
  </si>
  <si>
    <t>Etiquette DPE carbone au sens du DPE tertiaire</t>
  </si>
  <si>
    <t>Etiquette DPE globale au sens du DPE tertiaire. Il s'agit de la pire note entre "etiquette_energie" et "etiquette_CO2".</t>
  </si>
  <si>
    <t>Booléen qui précise si l'action "isolation des murs par l'intérieur" a été modélisée dans la simulation.</t>
  </si>
  <si>
    <t>Booléen qui précise si l'action "isolation des murs par l'extérieur" a été modélisée dans la simulation.</t>
  </si>
  <si>
    <t>Booléen qui précise si l'action "Passage au double vitrage" a été modélisée dans la simulation.</t>
  </si>
  <si>
    <t>Booléen qui précise si l'action "Passage au triple vitrage" a été modélisée dans la simulation.</t>
  </si>
  <si>
    <t>Booléen qui précise si l'action "isolation du sol" a été modélisée dans la simulation.</t>
  </si>
  <si>
    <t>Booléen qui précise si l'action "isolation du toit" a été modélisée dans la simulation.</t>
  </si>
  <si>
    <t>Booléen qui précise si l'action "passage à une VMC double flux" a été modélisée dans la simulation.</t>
  </si>
  <si>
    <t>Booléen qui précise si l'action "changement de système" a été modélisée dans la simulation.</t>
  </si>
  <si>
    <t>Cout de la facture de gaz estimée par an.</t>
  </si>
  <si>
    <t>Cout de la facture d'électricité estimée par an.</t>
  </si>
  <si>
    <t>Cout d'investissement estimé des gestes de rénovation modélisés dans la simulation.</t>
  </si>
  <si>
    <t>économies sur la facture de gaz estimée par an.</t>
  </si>
  <si>
    <t>économie sur la facture d'électricité estimée par an.</t>
  </si>
  <si>
    <t>Indicateur de performance qui traduit le MWh annuel economisé par rapport à l'investissement. Formule = (gains_totaux_mwh_an)*1000/(cout_investissement_euros)</t>
  </si>
  <si>
    <t>Gains économiques espérées sur 20 ans par rapport à la situation initale (ne prend pas en compte l'inflation).</t>
  </si>
  <si>
    <t xml:space="preserve">Retour sur investissement espéré en années. </t>
  </si>
  <si>
    <t>Emissions totales de gaz à effet de serre annuelles estimées du bâtiment sur la simulation en TCO2/an</t>
  </si>
  <si>
    <t>Gains relatifs sur les émissions totales de gaz à effet de serre annuelles estimées du bâtiment sur la simulation en %</t>
  </si>
  <si>
    <t>Gains absolus sur les émissions totales de gaz à effet de serre annuelles estimées du bâtiment sur la simulation en TCO2/an</t>
  </si>
  <si>
    <t>Emissions surfaciques totales de gaz à effet de serre annuelles estimées du bâtiment sur la simulation en kgCO2/m²/an</t>
  </si>
  <si>
    <t>Consommation d'energie totale annuelle estimée du bâtiment sur la simulation en MWh/an</t>
  </si>
  <si>
    <t>Gains absolus sur la consommation d'energie totale annuelle estimés du bâtiment sur la simulation en MWh/an</t>
  </si>
  <si>
    <t>Gains relatifs sur la consommation d'energie totale annuelle estimés du bâtiment sur la simulation en %</t>
  </si>
  <si>
    <t>Consommation d'energie surfacique totale annuelle estimée du bâtiment sur la simulation en kWh/m²/an</t>
  </si>
  <si>
    <t>Gains absolus sur les consommation d'energie surfacique totale annuelle estimés du bâtiment sur la simulation en kWh/m²/an</t>
  </si>
  <si>
    <t>Gains absolus sur les émissions de gaz à effet de serre surfacique totale annuelle estimés du bâtiment sur la simulation en kgCO2/m²/an</t>
  </si>
  <si>
    <t>pack_travaux</t>
  </si>
  <si>
    <t>Booléen qui précise si plusieurs actions ont été modélisées dans la simulation. "True" = au moins 2 actions, "False" = au plus 1 action.</t>
  </si>
  <si>
    <t>travaux_inoccupation</t>
  </si>
  <si>
    <t>temps_de_travaux</t>
  </si>
  <si>
    <t xml:space="preserve">Indicateur booléen si le ou les travaux doivent impérativement se faire en période d'inoccupation. Si True : Ne peut se faire que sur les mois de janvier, juillet et aout. Si False : peut se faire toute l'année </t>
  </si>
  <si>
    <t xml:space="preserve">Temps nécessaire pour faire les travaux en nombre de mois.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</si>
</sst>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€&quot;_-;\-* #,##0.00\ &quot;€&quot;_-;_-* &quot;-&quot;??\ &quot;€&quot;_-;_-@_-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</borders>
  <cellStyleXfs count="3">
    <xf numFmtId="0" fontId="0" fillId="0" borderId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19">
    <xf numFmtId="0" fontId="0" fillId="0" borderId="0" xfId="0"/>
    <xf numFmtId="0" fontId="1" fillId="0" borderId="1" xfId="0" applyFont="1" applyBorder="1" applyAlignment="1">
      <alignment horizontal="center" vertical="top"/>
    </xf>
    <xf numFmtId="44" fontId="1" fillId="0" borderId="1" xfId="1" applyFont="1" applyFill="1" applyBorder="1" applyAlignment="1">
      <alignment horizontal="center" vertical="top"/>
    </xf>
    <xf numFmtId="44" fontId="0" fillId="0" borderId="0" xfId="1" applyFont="1" applyFill="1"/>
    <xf numFmtId="9" fontId="1" fillId="0" borderId="1" xfId="2" applyFont="1" applyFill="1" applyBorder="1" applyAlignment="1">
      <alignment horizontal="center" vertical="top"/>
    </xf>
    <xf numFmtId="9" fontId="0" fillId="0" borderId="0" xfId="2" applyFont="1" applyFill="1"/>
    <xf numFmtId="0" fontId="1" fillId="0" borderId="2" xfId="0" applyFont="1" applyBorder="1" applyAlignment="1">
      <alignment horizontal="center" vertical="top"/>
    </xf>
    <xf numFmtId="0" fontId="0" fillId="0" borderId="3" xfId="0" applyBorder="1"/>
    <xf numFmtId="44" fontId="1" fillId="0" borderId="2" xfId="1" applyFont="1" applyFill="1" applyBorder="1" applyAlignment="1">
      <alignment horizontal="center" vertical="top"/>
    </xf>
    <xf numFmtId="9" fontId="1" fillId="0" borderId="2" xfId="2" applyFont="1" applyFill="1" applyBorder="1" applyAlignment="1">
      <alignment horizontal="center" vertical="top"/>
    </xf>
    <xf numFmtId="0" fontId="1" fillId="0" borderId="6" xfId="0" applyFont="1" applyBorder="1" applyAlignment="1">
      <alignment horizontal="center" vertical="top"/>
    </xf>
    <xf numFmtId="0" fontId="0" fillId="0" borderId="7" xfId="0" applyBorder="1"/>
    <xf numFmtId="0" fontId="1" fillId="0" borderId="8" xfId="0" applyFont="1" applyBorder="1" applyAlignment="1">
      <alignment horizontal="center"/>
    </xf>
    <xf numFmtId="0" fontId="1" fillId="0" borderId="9" xfId="0" applyFont="1" applyBorder="1"/>
    <xf numFmtId="0" fontId="1" fillId="0" borderId="10" xfId="0" applyFont="1" applyBorder="1" applyAlignment="1">
      <alignment horizontal="center" vertical="top"/>
    </xf>
    <xf numFmtId="0" fontId="1" fillId="0" borderId="11" xfId="0" applyFont="1" applyBorder="1" applyAlignment="1">
      <alignment horizontal="center" vertical="top"/>
    </xf>
    <xf numFmtId="0" fontId="0" fillId="0" borderId="12" xfId="0" applyBorder="1"/>
    <xf numFmtId="0" fontId="1" fillId="0" borderId="4" xfId="0" applyFont="1" applyBorder="1" applyAlignment="1">
      <alignment horizontal="center"/>
    </xf>
    <xf numFmtId="0" fontId="0" fillId="0" borderId="5" xfId="0" applyBorder="1"/>
  </cellXfs>
  <cellStyles count="3">
    <cellStyle name="Monétaire" xfId="1" builtinId="4"/>
    <cellStyle name="Normal" xfId="0" builtinId="0"/>
    <cellStyle name="Pourcentage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862"/>
  <sheetViews>
    <sheetView tabSelected="1" workbookViewId="0">
      <selection activeCell="AD57" sqref="A57:XFD57"/>
    </sheetView>
  </sheetViews>
  <sheetFormatPr baseColWidth="10" defaultColWidth="8.90625" defaultRowHeight="14.5" x14ac:dyDescent="0.35"/>
  <cols>
    <col min="1" max="1" width="70.90625" bestFit="1" customWidth="1"/>
    <col min="2" max="2" width="58" bestFit="1" customWidth="1"/>
    <col min="3" max="3" width="13.36328125" bestFit="1" customWidth="1"/>
    <col min="4" max="4" width="20.453125" bestFit="1" customWidth="1"/>
    <col min="5" max="5" width="17.08984375" bestFit="1" customWidth="1"/>
    <col min="6" max="6" width="13.6328125" bestFit="1" customWidth="1"/>
    <col min="7" max="7" width="23.54296875" bestFit="1" customWidth="1"/>
    <col min="8" max="8" width="24.6328125" bestFit="1" customWidth="1"/>
    <col min="9" max="9" width="27.26953125" bestFit="1" customWidth="1"/>
    <col min="10" max="10" width="27" bestFit="1" customWidth="1"/>
    <col min="11" max="11" width="17.54296875" bestFit="1" customWidth="1"/>
    <col min="12" max="12" width="17.08984375" bestFit="1" customWidth="1"/>
    <col min="13" max="13" width="19.7265625" bestFit="1" customWidth="1"/>
    <col min="14" max="14" width="21.7265625" bestFit="1" customWidth="1"/>
    <col min="15" max="15" width="16.6328125" bestFit="1" customWidth="1"/>
    <col min="16" max="16" width="29.81640625" style="3" bestFit="1" customWidth="1"/>
    <col min="17" max="17" width="19.81640625" style="3" bestFit="1" customWidth="1"/>
    <col min="18" max="18" width="19" style="3" bestFit="1" customWidth="1"/>
    <col min="19" max="19" width="20.453125" style="3" bestFit="1" customWidth="1"/>
    <col min="20" max="20" width="19.54296875" style="3" bestFit="1" customWidth="1"/>
    <col min="21" max="21" width="20.1796875" bestFit="1" customWidth="1"/>
    <col min="22" max="22" width="22.26953125" style="3" bestFit="1" customWidth="1"/>
    <col min="23" max="23" width="14.6328125" bestFit="1" customWidth="1"/>
    <col min="24" max="24" width="32.81640625" bestFit="1" customWidth="1"/>
    <col min="25" max="25" width="30.90625" bestFit="1" customWidth="1"/>
    <col min="26" max="26" width="29" style="5" bestFit="1" customWidth="1"/>
    <col min="27" max="27" width="36.54296875" bestFit="1" customWidth="1"/>
    <col min="28" max="28" width="23.6328125" bestFit="1" customWidth="1"/>
    <col min="29" max="29" width="24.54296875" bestFit="1" customWidth="1"/>
    <col min="30" max="30" width="21.26953125" style="5" bestFit="1" customWidth="1"/>
    <col min="31" max="31" width="37.6328125" bestFit="1" customWidth="1"/>
    <col min="32" max="32" width="42" bestFit="1" customWidth="1"/>
    <col min="33" max="33" width="41.90625" bestFit="1" customWidth="1"/>
    <col min="34" max="34" width="19.08984375" bestFit="1" customWidth="1"/>
    <col min="35" max="35" width="16.6328125" bestFit="1" customWidth="1"/>
  </cols>
  <sheetData>
    <row r="1" spans="1:3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1016</v>
      </c>
      <c r="P1" s="2" t="s">
        <v>14</v>
      </c>
      <c r="Q1" s="2" t="s">
        <v>981</v>
      </c>
      <c r="R1" s="2" t="s">
        <v>15</v>
      </c>
      <c r="S1" s="2" t="s">
        <v>16</v>
      </c>
      <c r="T1" s="2" t="s">
        <v>17</v>
      </c>
      <c r="U1" s="1" t="s">
        <v>18</v>
      </c>
      <c r="V1" s="2" t="s">
        <v>19</v>
      </c>
      <c r="W1" s="1" t="s">
        <v>20</v>
      </c>
      <c r="X1" s="1" t="s">
        <v>21</v>
      </c>
      <c r="Y1" s="1" t="s">
        <v>22</v>
      </c>
      <c r="Z1" s="4" t="s">
        <v>23</v>
      </c>
      <c r="AA1" s="1" t="s">
        <v>24</v>
      </c>
      <c r="AB1" s="1" t="s">
        <v>25</v>
      </c>
      <c r="AC1" s="1" t="s">
        <v>26</v>
      </c>
      <c r="AD1" s="4" t="s">
        <v>27</v>
      </c>
      <c r="AE1" s="1" t="s">
        <v>28</v>
      </c>
      <c r="AF1" s="1" t="s">
        <v>29</v>
      </c>
      <c r="AG1" s="1" t="s">
        <v>30</v>
      </c>
      <c r="AH1" s="14" t="s">
        <v>1018</v>
      </c>
      <c r="AI1" s="14" t="s">
        <v>1019</v>
      </c>
    </row>
    <row r="2" spans="1:35" x14ac:dyDescent="0.35">
      <c r="A2" t="s">
        <v>31</v>
      </c>
      <c r="B2" t="s">
        <v>32</v>
      </c>
      <c r="C2" t="s">
        <v>33</v>
      </c>
      <c r="D2" t="s">
        <v>34</v>
      </c>
      <c r="E2" t="s">
        <v>34</v>
      </c>
      <c r="F2" t="s">
        <v>34</v>
      </c>
      <c r="G2" t="s">
        <v>35</v>
      </c>
      <c r="H2" t="s">
        <v>35</v>
      </c>
      <c r="I2" t="s">
        <v>35</v>
      </c>
      <c r="J2" t="s">
        <v>35</v>
      </c>
      <c r="K2" t="s">
        <v>35</v>
      </c>
      <c r="L2" t="s">
        <v>35</v>
      </c>
      <c r="M2" t="s">
        <v>35</v>
      </c>
      <c r="N2" t="s">
        <v>35</v>
      </c>
      <c r="O2" t="str">
        <f t="shared" ref="O2:O3" si="0">IF(COUNTIF(G2:N2,"True")&gt;1, "True", "False")</f>
        <v>False</v>
      </c>
      <c r="P2" s="3">
        <v>0</v>
      </c>
      <c r="Q2" s="3">
        <v>15953.75530843683</v>
      </c>
      <c r="R2" s="3">
        <v>0</v>
      </c>
      <c r="S2" s="3">
        <v>16266.15450563223</v>
      </c>
      <c r="T2" s="3">
        <v>0</v>
      </c>
      <c r="U2">
        <v>0</v>
      </c>
      <c r="V2" s="3">
        <v>0</v>
      </c>
      <c r="W2">
        <v>0</v>
      </c>
      <c r="X2">
        <v>48.291421477055721</v>
      </c>
      <c r="Y2">
        <v>0</v>
      </c>
      <c r="Z2" s="5">
        <v>0</v>
      </c>
      <c r="AA2">
        <v>26.828567487253181</v>
      </c>
      <c r="AB2">
        <v>266.43498820168571</v>
      </c>
      <c r="AC2">
        <v>5.6843418860808009E-14</v>
      </c>
      <c r="AD2" s="5">
        <v>2.133481763955819E-16</v>
      </c>
      <c r="AE2">
        <v>148.01943788982541</v>
      </c>
      <c r="AF2">
        <v>3.1579677144893343E-14</v>
      </c>
      <c r="AG2">
        <v>3.5527136788005009E-15</v>
      </c>
      <c r="AH2" t="str">
        <f>IF(OR(G2="True",I2="True",J2="True"),"True","False")</f>
        <v>False</v>
      </c>
      <c r="AI2">
        <v>0</v>
      </c>
    </row>
    <row r="3" spans="1:35" x14ac:dyDescent="0.35">
      <c r="A3" t="s">
        <v>36</v>
      </c>
      <c r="B3" t="s">
        <v>32</v>
      </c>
      <c r="C3" t="s">
        <v>33</v>
      </c>
      <c r="D3" t="s">
        <v>34</v>
      </c>
      <c r="E3" t="s">
        <v>34</v>
      </c>
      <c r="F3" t="s">
        <v>34</v>
      </c>
      <c r="G3" t="s">
        <v>35</v>
      </c>
      <c r="H3" t="s">
        <v>35</v>
      </c>
      <c r="I3" t="s">
        <v>35</v>
      </c>
      <c r="J3" t="s">
        <v>35</v>
      </c>
      <c r="K3" t="s">
        <v>37</v>
      </c>
      <c r="L3" t="s">
        <v>35</v>
      </c>
      <c r="M3" t="s">
        <v>35</v>
      </c>
      <c r="N3" t="s">
        <v>35</v>
      </c>
      <c r="O3" t="str">
        <f t="shared" si="0"/>
        <v>False</v>
      </c>
      <c r="P3" s="3">
        <v>6776.8</v>
      </c>
      <c r="Q3" s="3">
        <v>15945.77066582525</v>
      </c>
      <c r="R3" s="3">
        <v>7.984642611585417</v>
      </c>
      <c r="S3" s="3">
        <v>16265.427272124351</v>
      </c>
      <c r="T3" s="3">
        <v>0.7272335078794967</v>
      </c>
      <c r="U3">
        <v>1.41378147952751E-2</v>
      </c>
      <c r="V3" s="3">
        <v>-6602.5624776107024</v>
      </c>
      <c r="W3">
        <v>777.88066623888506</v>
      </c>
      <c r="X3">
        <v>48.270217766382117</v>
      </c>
      <c r="Y3">
        <v>2.1203710673603299E-2</v>
      </c>
      <c r="Z3" s="5">
        <v>4.3907820530139998E-4</v>
      </c>
      <c r="AA3">
        <v>26.816787647990068</v>
      </c>
      <c r="AB3">
        <v>266.33917905838109</v>
      </c>
      <c r="AC3">
        <v>9.5809143304620606E-2</v>
      </c>
      <c r="AD3" s="5">
        <v>3.5959670293779999E-4</v>
      </c>
      <c r="AE3">
        <v>147.96621058798951</v>
      </c>
      <c r="AF3">
        <v>5.3227301835900298E-2</v>
      </c>
      <c r="AG3">
        <v>1.17798392631129E-2</v>
      </c>
      <c r="AH3" t="str">
        <f t="shared" ref="AH3:AH66" si="1">IF(OR(G3="True",I3="True",J3="True"),"True","False")</f>
        <v>False</v>
      </c>
      <c r="AI3">
        <v>2</v>
      </c>
    </row>
    <row r="4" spans="1:35" x14ac:dyDescent="0.35">
      <c r="A4" t="s">
        <v>38</v>
      </c>
      <c r="B4" t="s">
        <v>32</v>
      </c>
      <c r="C4" t="s">
        <v>33</v>
      </c>
      <c r="D4" t="s">
        <v>34</v>
      </c>
      <c r="E4" t="s">
        <v>39</v>
      </c>
      <c r="F4" t="s">
        <v>34</v>
      </c>
      <c r="G4" t="s">
        <v>37</v>
      </c>
      <c r="H4" t="s">
        <v>35</v>
      </c>
      <c r="I4" t="s">
        <v>35</v>
      </c>
      <c r="J4" t="s">
        <v>35</v>
      </c>
      <c r="K4" t="s">
        <v>37</v>
      </c>
      <c r="L4" t="s">
        <v>35</v>
      </c>
      <c r="M4" t="s">
        <v>37</v>
      </c>
      <c r="N4" t="s">
        <v>37</v>
      </c>
      <c r="O4" t="str">
        <f>IF(COUNTIF(G4:N4,"True")&gt;1, "True", "False")</f>
        <v>True</v>
      </c>
      <c r="P4" s="3">
        <v>417436.14</v>
      </c>
      <c r="Q4" s="3">
        <v>12784.240936223299</v>
      </c>
      <c r="R4" s="3">
        <v>3169.514372213534</v>
      </c>
      <c r="S4" s="3">
        <v>16104.174534583201</v>
      </c>
      <c r="T4" s="3">
        <v>161.97997104903209</v>
      </c>
      <c r="U4">
        <v>8.9570742237155193E-2</v>
      </c>
      <c r="V4" s="3">
        <v>-350806.25313474872</v>
      </c>
      <c r="W4">
        <v>125.2999696199996</v>
      </c>
      <c r="X4">
        <v>39.925259204887723</v>
      </c>
      <c r="Y4">
        <v>8.3661622721679976</v>
      </c>
      <c r="Z4" s="5">
        <v>0.1732432389910688</v>
      </c>
      <c r="AA4">
        <v>22.180699558270959</v>
      </c>
      <c r="AB4">
        <v>229.0449233052727</v>
      </c>
      <c r="AC4">
        <v>37.390064896413037</v>
      </c>
      <c r="AD4" s="5">
        <v>0.14033466531095959</v>
      </c>
      <c r="AE4">
        <v>127.24717961404041</v>
      </c>
      <c r="AF4">
        <v>20.77225827578502</v>
      </c>
      <c r="AG4">
        <v>4.6478679289822216</v>
      </c>
      <c r="AH4" t="str">
        <f t="shared" si="1"/>
        <v>True</v>
      </c>
      <c r="AI4">
        <v>4</v>
      </c>
    </row>
    <row r="5" spans="1:35" x14ac:dyDescent="0.35">
      <c r="A5" t="s">
        <v>40</v>
      </c>
      <c r="B5" t="s">
        <v>32</v>
      </c>
      <c r="C5" t="s">
        <v>33</v>
      </c>
      <c r="D5" t="s">
        <v>34</v>
      </c>
      <c r="E5" t="s">
        <v>34</v>
      </c>
      <c r="F5" t="s">
        <v>34</v>
      </c>
      <c r="G5" t="s">
        <v>37</v>
      </c>
      <c r="H5" t="s">
        <v>35</v>
      </c>
      <c r="I5" t="s">
        <v>35</v>
      </c>
      <c r="J5" t="s">
        <v>35</v>
      </c>
      <c r="K5" t="s">
        <v>35</v>
      </c>
      <c r="L5" t="s">
        <v>35</v>
      </c>
      <c r="M5" t="s">
        <v>35</v>
      </c>
      <c r="N5" t="s">
        <v>35</v>
      </c>
      <c r="O5" t="str">
        <f t="shared" ref="O5:O68" si="2">IF(COUNTIF(G5:N5,"True")&gt;1, "True", "False")</f>
        <v>False</v>
      </c>
      <c r="P5" s="3">
        <v>84817.63499999998</v>
      </c>
      <c r="Q5" s="3">
        <v>15198.02310404677</v>
      </c>
      <c r="R5" s="3">
        <v>755.73220439006127</v>
      </c>
      <c r="S5" s="3">
        <v>16195.809144064469</v>
      </c>
      <c r="T5" s="3">
        <v>70.345361567757607</v>
      </c>
      <c r="U5">
        <v>0.1070040522637626</v>
      </c>
      <c r="V5" s="3">
        <v>-68296.0836808436</v>
      </c>
      <c r="W5">
        <v>102.67514637279341</v>
      </c>
      <c r="X5">
        <v>46.283922418657482</v>
      </c>
      <c r="Y5">
        <v>2.0074990583982379</v>
      </c>
      <c r="Z5" s="5">
        <v>4.1570510807018603E-2</v>
      </c>
      <c r="AA5">
        <v>25.713290232587489</v>
      </c>
      <c r="AB5">
        <v>257.35915755325698</v>
      </c>
      <c r="AC5">
        <v>9.0758306484287363</v>
      </c>
      <c r="AD5" s="5">
        <v>3.4063959503541297E-2</v>
      </c>
      <c r="AE5">
        <v>142.9773097518094</v>
      </c>
      <c r="AF5">
        <v>5.0421281380159639</v>
      </c>
      <c r="AG5">
        <v>1.1152772546656919</v>
      </c>
      <c r="AH5" t="str">
        <f t="shared" si="1"/>
        <v>True</v>
      </c>
      <c r="AI5">
        <v>4</v>
      </c>
    </row>
    <row r="6" spans="1:35" x14ac:dyDescent="0.35">
      <c r="A6" t="s">
        <v>41</v>
      </c>
      <c r="B6" t="s">
        <v>32</v>
      </c>
      <c r="C6" t="s">
        <v>33</v>
      </c>
      <c r="D6" t="s">
        <v>34</v>
      </c>
      <c r="E6" t="s">
        <v>39</v>
      </c>
      <c r="F6" t="s">
        <v>34</v>
      </c>
      <c r="G6" t="s">
        <v>35</v>
      </c>
      <c r="H6" t="s">
        <v>35</v>
      </c>
      <c r="I6" t="s">
        <v>37</v>
      </c>
      <c r="J6" t="s">
        <v>35</v>
      </c>
      <c r="K6" t="s">
        <v>35</v>
      </c>
      <c r="L6" t="s">
        <v>35</v>
      </c>
      <c r="M6" t="s">
        <v>35</v>
      </c>
      <c r="N6" t="s">
        <v>35</v>
      </c>
      <c r="O6" t="str">
        <f t="shared" si="2"/>
        <v>False</v>
      </c>
      <c r="P6" s="3">
        <v>533139.41999999993</v>
      </c>
      <c r="Q6" s="3">
        <v>15022.550724097589</v>
      </c>
      <c r="R6" s="3">
        <v>931.20458433924682</v>
      </c>
      <c r="S6" s="3">
        <v>16179.349544251119</v>
      </c>
      <c r="T6" s="3">
        <v>86.804961381111383</v>
      </c>
      <c r="U6">
        <v>2.0977202983906301E-2</v>
      </c>
      <c r="V6" s="3">
        <v>-512779.22908559279</v>
      </c>
      <c r="W6">
        <v>523.7076825470657</v>
      </c>
      <c r="X6">
        <v>45.817753598364483</v>
      </c>
      <c r="Y6">
        <v>2.4736678786912378</v>
      </c>
      <c r="Z6" s="5">
        <v>5.1223753681935602E-2</v>
      </c>
      <c r="AA6">
        <v>25.454307554646931</v>
      </c>
      <c r="AB6">
        <v>255.2512143696236</v>
      </c>
      <c r="AC6">
        <v>11.183773832062119</v>
      </c>
      <c r="AD6" s="5">
        <v>4.1975620047304797E-2</v>
      </c>
      <c r="AE6">
        <v>141.80623020534651</v>
      </c>
      <c r="AF6">
        <v>6.2132076844789532</v>
      </c>
      <c r="AG6">
        <v>1.374259932606247</v>
      </c>
      <c r="AH6" t="str">
        <f t="shared" si="1"/>
        <v>True</v>
      </c>
      <c r="AI6">
        <v>3</v>
      </c>
    </row>
    <row r="7" spans="1:35" x14ac:dyDescent="0.35">
      <c r="A7" t="s">
        <v>42</v>
      </c>
      <c r="B7" t="s">
        <v>32</v>
      </c>
      <c r="C7" t="s">
        <v>33</v>
      </c>
      <c r="D7" t="s">
        <v>34</v>
      </c>
      <c r="E7" t="s">
        <v>39</v>
      </c>
      <c r="F7" t="s">
        <v>34</v>
      </c>
      <c r="G7" t="s">
        <v>35</v>
      </c>
      <c r="H7" t="s">
        <v>35</v>
      </c>
      <c r="I7" t="s">
        <v>35</v>
      </c>
      <c r="J7" t="s">
        <v>37</v>
      </c>
      <c r="K7" t="s">
        <v>35</v>
      </c>
      <c r="L7" t="s">
        <v>35</v>
      </c>
      <c r="M7" t="s">
        <v>35</v>
      </c>
      <c r="N7" t="s">
        <v>35</v>
      </c>
      <c r="O7" t="str">
        <f t="shared" si="2"/>
        <v>False</v>
      </c>
      <c r="P7" s="3">
        <v>654307.47</v>
      </c>
      <c r="Q7" s="3">
        <v>14433.330671612701</v>
      </c>
      <c r="R7" s="3">
        <v>1520.424636824129</v>
      </c>
      <c r="S7" s="3">
        <v>16124.34143730351</v>
      </c>
      <c r="T7" s="3">
        <v>141.81306832871809</v>
      </c>
      <c r="U7">
        <v>2.7908480592023999E-2</v>
      </c>
      <c r="V7" s="3">
        <v>-621062.715896943</v>
      </c>
      <c r="W7">
        <v>393.63050661868772</v>
      </c>
      <c r="X7">
        <v>44.252506419805258</v>
      </c>
      <c r="Y7">
        <v>4.0389150572504633</v>
      </c>
      <c r="Z7" s="5">
        <v>8.3636284327837304E-2</v>
      </c>
      <c r="AA7">
        <v>24.584725788780698</v>
      </c>
      <c r="AB7">
        <v>248.17426087397439</v>
      </c>
      <c r="AC7">
        <v>18.260727327711319</v>
      </c>
      <c r="AD7" s="5">
        <v>6.8537272266539995E-2</v>
      </c>
      <c r="AE7">
        <v>137.8745893744302</v>
      </c>
      <c r="AF7">
        <v>10.14484851539518</v>
      </c>
      <c r="AG7">
        <v>2.2438416984724832</v>
      </c>
      <c r="AH7" t="str">
        <f t="shared" si="1"/>
        <v>True</v>
      </c>
      <c r="AI7">
        <v>3</v>
      </c>
    </row>
    <row r="8" spans="1:35" x14ac:dyDescent="0.35">
      <c r="A8" t="s">
        <v>43</v>
      </c>
      <c r="B8" t="s">
        <v>32</v>
      </c>
      <c r="C8" t="s">
        <v>33</v>
      </c>
      <c r="D8" t="s">
        <v>34</v>
      </c>
      <c r="E8" t="s">
        <v>39</v>
      </c>
      <c r="F8" t="s">
        <v>34</v>
      </c>
      <c r="G8" t="s">
        <v>35</v>
      </c>
      <c r="H8" t="s">
        <v>35</v>
      </c>
      <c r="I8" t="s">
        <v>35</v>
      </c>
      <c r="J8" t="s">
        <v>35</v>
      </c>
      <c r="K8" t="s">
        <v>35</v>
      </c>
      <c r="L8" t="s">
        <v>35</v>
      </c>
      <c r="M8" t="s">
        <v>35</v>
      </c>
      <c r="N8" t="s">
        <v>37</v>
      </c>
      <c r="O8" t="str">
        <f t="shared" si="2"/>
        <v>False</v>
      </c>
      <c r="P8" s="3">
        <v>28304.6</v>
      </c>
      <c r="Q8" s="3">
        <v>14471.575841852849</v>
      </c>
      <c r="R8" s="3">
        <v>1482.179466583978</v>
      </c>
      <c r="S8" s="3">
        <v>16270.14276847769</v>
      </c>
      <c r="T8" s="3">
        <v>-3.9882628454635949</v>
      </c>
      <c r="U8">
        <v>0.60347856128317046</v>
      </c>
      <c r="V8" s="3">
        <v>1259.2240747702931</v>
      </c>
      <c r="W8">
        <v>19.14813180352747</v>
      </c>
      <c r="X8">
        <v>44.410996026285709</v>
      </c>
      <c r="Y8">
        <v>3.8804254507700122</v>
      </c>
      <c r="Z8" s="5">
        <v>8.0354343112755203E-2</v>
      </c>
      <c r="AA8">
        <v>24.672775570158731</v>
      </c>
      <c r="AB8">
        <v>249.35376891599009</v>
      </c>
      <c r="AC8">
        <v>17.081219285695621</v>
      </c>
      <c r="AD8" s="5">
        <v>6.4110270955725607E-2</v>
      </c>
      <c r="AE8">
        <v>138.52987161999451</v>
      </c>
      <c r="AF8">
        <v>9.4895662698309025</v>
      </c>
      <c r="AG8">
        <v>2.1557919170944539</v>
      </c>
      <c r="AH8" t="str">
        <f t="shared" si="1"/>
        <v>False</v>
      </c>
      <c r="AI8">
        <v>0</v>
      </c>
    </row>
    <row r="9" spans="1:35" x14ac:dyDescent="0.35">
      <c r="A9" t="s">
        <v>44</v>
      </c>
      <c r="B9" t="s">
        <v>32</v>
      </c>
      <c r="C9" t="s">
        <v>33</v>
      </c>
      <c r="D9" t="s">
        <v>34</v>
      </c>
      <c r="E9" t="s">
        <v>39</v>
      </c>
      <c r="F9" t="s">
        <v>34</v>
      </c>
      <c r="G9" t="s">
        <v>35</v>
      </c>
      <c r="H9" t="s">
        <v>35</v>
      </c>
      <c r="I9" t="s">
        <v>35</v>
      </c>
      <c r="J9" t="s">
        <v>35</v>
      </c>
      <c r="K9" t="s">
        <v>35</v>
      </c>
      <c r="L9" t="s">
        <v>35</v>
      </c>
      <c r="M9" t="s">
        <v>37</v>
      </c>
      <c r="N9" t="s">
        <v>35</v>
      </c>
      <c r="O9" t="str">
        <f t="shared" si="2"/>
        <v>False</v>
      </c>
      <c r="P9" s="3">
        <v>301650</v>
      </c>
      <c r="Q9" s="3">
        <v>14917.81687438735</v>
      </c>
      <c r="R9" s="3">
        <v>1035.9384340494771</v>
      </c>
      <c r="S9" s="3">
        <v>16169.653682521021</v>
      </c>
      <c r="T9" s="3">
        <v>96.500823111207282</v>
      </c>
      <c r="U9">
        <v>4.1244116763707601E-2</v>
      </c>
      <c r="V9" s="3">
        <v>-279001.2148567863</v>
      </c>
      <c r="W9">
        <v>266.37190303373433</v>
      </c>
      <c r="X9">
        <v>45.539563682376468</v>
      </c>
      <c r="Y9">
        <v>2.7518577946792528</v>
      </c>
      <c r="Z9" s="5">
        <v>5.6984402415793799E-2</v>
      </c>
      <c r="AA9">
        <v>25.299757601320259</v>
      </c>
      <c r="AB9">
        <v>253.99370037991329</v>
      </c>
      <c r="AC9">
        <v>12.44128782177242</v>
      </c>
      <c r="AD9" s="5">
        <v>4.6695398024656602E-2</v>
      </c>
      <c r="AE9">
        <v>141.10761132217411</v>
      </c>
      <c r="AF9">
        <v>6.9118265676513442</v>
      </c>
      <c r="AG9">
        <v>1.528809885932922</v>
      </c>
      <c r="AH9" t="str">
        <f t="shared" si="1"/>
        <v>False</v>
      </c>
      <c r="AI9">
        <v>0</v>
      </c>
    </row>
    <row r="10" spans="1:35" x14ac:dyDescent="0.35">
      <c r="A10" t="s">
        <v>45</v>
      </c>
      <c r="B10" t="s">
        <v>32</v>
      </c>
      <c r="C10" t="s">
        <v>33</v>
      </c>
      <c r="D10" t="s">
        <v>34</v>
      </c>
      <c r="E10" t="s">
        <v>34</v>
      </c>
      <c r="F10" t="s">
        <v>34</v>
      </c>
      <c r="G10" t="s">
        <v>37</v>
      </c>
      <c r="H10" t="s">
        <v>35</v>
      </c>
      <c r="I10" t="s">
        <v>35</v>
      </c>
      <c r="J10" t="s">
        <v>35</v>
      </c>
      <c r="K10" t="s">
        <v>37</v>
      </c>
      <c r="L10" t="s">
        <v>35</v>
      </c>
      <c r="M10" t="s">
        <v>35</v>
      </c>
      <c r="N10" t="s">
        <v>35</v>
      </c>
      <c r="O10" t="str">
        <f t="shared" si="2"/>
        <v>True</v>
      </c>
      <c r="P10" s="3">
        <v>91594.434999999983</v>
      </c>
      <c r="Q10" s="3">
        <v>15190.085217823051</v>
      </c>
      <c r="R10" s="3">
        <v>763.67009061378064</v>
      </c>
      <c r="S10" s="3">
        <v>16195.08791372859</v>
      </c>
      <c r="T10" s="3">
        <v>71.066591903636322</v>
      </c>
      <c r="U10">
        <v>0.1001269336929879</v>
      </c>
      <c r="V10" s="3">
        <v>-74899.701349651645</v>
      </c>
      <c r="W10">
        <v>109.72853705646131</v>
      </c>
      <c r="X10">
        <v>46.262843570312398</v>
      </c>
      <c r="Y10">
        <v>2.0285779067433229</v>
      </c>
      <c r="Z10" s="5">
        <v>4.2007003411716502E-2</v>
      </c>
      <c r="AA10">
        <v>25.70157976128467</v>
      </c>
      <c r="AB10">
        <v>257.26391828179402</v>
      </c>
      <c r="AC10">
        <v>9.1710699198916927</v>
      </c>
      <c r="AD10" s="5">
        <v>3.4421417328828301E-2</v>
      </c>
      <c r="AE10">
        <v>142.92439904544111</v>
      </c>
      <c r="AF10">
        <v>5.0950388443842733</v>
      </c>
      <c r="AG10">
        <v>1.126987725968515</v>
      </c>
      <c r="AH10" t="str">
        <f t="shared" si="1"/>
        <v>True</v>
      </c>
      <c r="AI10">
        <v>4</v>
      </c>
    </row>
    <row r="11" spans="1:35" x14ac:dyDescent="0.35">
      <c r="A11" t="s">
        <v>46</v>
      </c>
      <c r="B11" t="s">
        <v>32</v>
      </c>
      <c r="C11" t="s">
        <v>33</v>
      </c>
      <c r="D11" t="s">
        <v>34</v>
      </c>
      <c r="E11" t="s">
        <v>39</v>
      </c>
      <c r="F11" t="s">
        <v>34</v>
      </c>
      <c r="G11" t="s">
        <v>37</v>
      </c>
      <c r="H11" t="s">
        <v>35</v>
      </c>
      <c r="I11" t="s">
        <v>35</v>
      </c>
      <c r="J11" t="s">
        <v>35</v>
      </c>
      <c r="K11" t="s">
        <v>37</v>
      </c>
      <c r="L11" t="s">
        <v>35</v>
      </c>
      <c r="M11" t="s">
        <v>35</v>
      </c>
      <c r="N11" t="s">
        <v>37</v>
      </c>
      <c r="O11" t="str">
        <f t="shared" si="2"/>
        <v>True</v>
      </c>
      <c r="P11" s="3">
        <v>117069.53</v>
      </c>
      <c r="Q11" s="3">
        <v>13774.59441772315</v>
      </c>
      <c r="R11" s="3">
        <v>2179.1608907136838</v>
      </c>
      <c r="S11" s="3">
        <v>16199.07351577569</v>
      </c>
      <c r="T11" s="3">
        <v>67.080989856538267</v>
      </c>
      <c r="U11">
        <v>0.21767275959107471</v>
      </c>
      <c r="V11" s="3">
        <v>-72144.692388595562</v>
      </c>
      <c r="W11">
        <v>52.117953552838763</v>
      </c>
      <c r="X11">
        <v>42.5570833445029</v>
      </c>
      <c r="Y11">
        <v>5.7343381325528213</v>
      </c>
      <c r="Z11" s="5">
        <v>0.118744446884367</v>
      </c>
      <c r="AA11">
        <v>23.642824080279389</v>
      </c>
      <c r="AB11">
        <v>240.95214054255561</v>
      </c>
      <c r="AC11">
        <v>25.482847659130101</v>
      </c>
      <c r="AD11" s="5">
        <v>9.5643773481582303E-2</v>
      </c>
      <c r="AE11">
        <v>133.86230030141979</v>
      </c>
      <c r="AF11">
        <v>14.157137588405609</v>
      </c>
      <c r="AG11">
        <v>3.185743406973792</v>
      </c>
      <c r="AH11" t="str">
        <f t="shared" si="1"/>
        <v>True</v>
      </c>
      <c r="AI11">
        <v>4</v>
      </c>
    </row>
    <row r="12" spans="1:35" x14ac:dyDescent="0.35">
      <c r="A12" t="s">
        <v>47</v>
      </c>
      <c r="B12" t="s">
        <v>32</v>
      </c>
      <c r="C12" t="s">
        <v>33</v>
      </c>
      <c r="D12" t="s">
        <v>34</v>
      </c>
      <c r="E12" t="s">
        <v>39</v>
      </c>
      <c r="F12" t="s">
        <v>34</v>
      </c>
      <c r="G12" t="s">
        <v>37</v>
      </c>
      <c r="H12" t="s">
        <v>35</v>
      </c>
      <c r="I12" t="s">
        <v>35</v>
      </c>
      <c r="J12" t="s">
        <v>37</v>
      </c>
      <c r="K12" t="s">
        <v>37</v>
      </c>
      <c r="L12" t="s">
        <v>35</v>
      </c>
      <c r="M12" t="s">
        <v>35</v>
      </c>
      <c r="N12" t="s">
        <v>35</v>
      </c>
      <c r="O12" t="str">
        <f t="shared" si="2"/>
        <v>True</v>
      </c>
      <c r="P12" s="3">
        <v>745901.90499999991</v>
      </c>
      <c r="Q12" s="3">
        <v>13714.797386565961</v>
      </c>
      <c r="R12" s="3">
        <v>2238.9579218708709</v>
      </c>
      <c r="S12" s="3">
        <v>16057.29000607637</v>
      </c>
      <c r="T12" s="3">
        <v>208.86449955586161</v>
      </c>
      <c r="U12">
        <v>3.6051225871958401E-2</v>
      </c>
      <c r="V12" s="3">
        <v>-696945.45657146524</v>
      </c>
      <c r="W12">
        <v>304.72059511786199</v>
      </c>
      <c r="X12">
        <v>42.343753740407621</v>
      </c>
      <c r="Y12">
        <v>5.9476677366480999</v>
      </c>
      <c r="Z12" s="5">
        <v>0.1231619934707029</v>
      </c>
      <c r="AA12">
        <v>23.52430763355979</v>
      </c>
      <c r="AB12">
        <v>239.54431014620661</v>
      </c>
      <c r="AC12">
        <v>26.8906780554791</v>
      </c>
      <c r="AD12" s="5">
        <v>0.10092772813727981</v>
      </c>
      <c r="AE12">
        <v>133.08017230344811</v>
      </c>
      <c r="AF12">
        <v>14.93926558637728</v>
      </c>
      <c r="AG12">
        <v>3.304259853693392</v>
      </c>
      <c r="AH12" t="str">
        <f t="shared" si="1"/>
        <v>True</v>
      </c>
      <c r="AI12">
        <v>4</v>
      </c>
    </row>
    <row r="13" spans="1:35" x14ac:dyDescent="0.35">
      <c r="A13" t="s">
        <v>48</v>
      </c>
      <c r="B13" t="s">
        <v>49</v>
      </c>
      <c r="C13" t="s">
        <v>33</v>
      </c>
      <c r="D13" t="s">
        <v>39</v>
      </c>
      <c r="E13" t="s">
        <v>39</v>
      </c>
      <c r="F13" t="s">
        <v>39</v>
      </c>
      <c r="G13" t="s">
        <v>35</v>
      </c>
      <c r="H13" t="s">
        <v>35</v>
      </c>
      <c r="I13" t="s">
        <v>35</v>
      </c>
      <c r="J13" t="s">
        <v>35</v>
      </c>
      <c r="K13" t="s">
        <v>35</v>
      </c>
      <c r="L13" t="s">
        <v>35</v>
      </c>
      <c r="M13" t="s">
        <v>35</v>
      </c>
      <c r="N13" t="s">
        <v>35</v>
      </c>
      <c r="O13" t="str">
        <f t="shared" si="2"/>
        <v>False</v>
      </c>
      <c r="P13" s="3">
        <v>0</v>
      </c>
      <c r="Q13" s="3">
        <v>91332.15785448844</v>
      </c>
      <c r="R13" s="3">
        <v>0</v>
      </c>
      <c r="S13" s="3">
        <v>121902.5372210645</v>
      </c>
      <c r="T13" s="3">
        <v>0</v>
      </c>
      <c r="U13">
        <v>0</v>
      </c>
      <c r="V13" s="3">
        <v>0</v>
      </c>
      <c r="W13">
        <v>0</v>
      </c>
      <c r="X13">
        <v>287.97181254584899</v>
      </c>
      <c r="Y13">
        <v>-5.6843418860808009E-14</v>
      </c>
      <c r="Z13" s="5">
        <v>-1.9739230155297849E-16</v>
      </c>
      <c r="AA13">
        <v>19.577932731378681</v>
      </c>
      <c r="AB13">
        <v>1671.0200967272119</v>
      </c>
      <c r="AC13">
        <v>-2.2737367544323211E-13</v>
      </c>
      <c r="AD13" s="5">
        <v>-1.3606878570075629E-16</v>
      </c>
      <c r="AE13">
        <v>113.6052822576118</v>
      </c>
      <c r="AF13">
        <v>-1.5458132805984911E-14</v>
      </c>
      <c r="AG13">
        <v>-3.5527136788005009E-15</v>
      </c>
      <c r="AH13" t="str">
        <f t="shared" si="1"/>
        <v>False</v>
      </c>
      <c r="AI13">
        <v>0</v>
      </c>
    </row>
    <row r="14" spans="1:35" x14ac:dyDescent="0.35">
      <c r="A14" t="s">
        <v>50</v>
      </c>
      <c r="B14" t="s">
        <v>49</v>
      </c>
      <c r="C14" t="s">
        <v>33</v>
      </c>
      <c r="D14" t="s">
        <v>39</v>
      </c>
      <c r="E14" t="s">
        <v>39</v>
      </c>
      <c r="F14" t="s">
        <v>39</v>
      </c>
      <c r="G14" t="s">
        <v>37</v>
      </c>
      <c r="H14" t="s">
        <v>35</v>
      </c>
      <c r="I14" t="s">
        <v>35</v>
      </c>
      <c r="J14" t="s">
        <v>35</v>
      </c>
      <c r="K14" t="s">
        <v>35</v>
      </c>
      <c r="L14" t="s">
        <v>35</v>
      </c>
      <c r="M14" t="s">
        <v>35</v>
      </c>
      <c r="N14" t="s">
        <v>35</v>
      </c>
      <c r="O14" t="str">
        <f t="shared" si="2"/>
        <v>False</v>
      </c>
      <c r="P14" s="3">
        <v>140166.20624999999</v>
      </c>
      <c r="Q14" s="3">
        <v>87741.82525980084</v>
      </c>
      <c r="R14" s="3">
        <v>3590.3325946875761</v>
      </c>
      <c r="S14" s="3">
        <v>119909.13878500659</v>
      </c>
      <c r="T14" s="3">
        <v>1993.3984360579409</v>
      </c>
      <c r="U14">
        <v>0.36755277387532093</v>
      </c>
      <c r="V14" s="3">
        <v>-28491.585635089639</v>
      </c>
      <c r="W14">
        <v>25.102607105931021</v>
      </c>
      <c r="X14">
        <v>277.77090524256829</v>
      </c>
      <c r="Y14">
        <v>10.200907303280641</v>
      </c>
      <c r="Z14" s="5">
        <v>3.5423284012064599E-2</v>
      </c>
      <c r="AA14">
        <v>18.884418059865961</v>
      </c>
      <c r="AB14">
        <v>1619.5016188164441</v>
      </c>
      <c r="AC14">
        <v>51.518477910767842</v>
      </c>
      <c r="AD14" s="5">
        <v>3.0830555546082099E-2</v>
      </c>
      <c r="AE14">
        <v>110.10276829264021</v>
      </c>
      <c r="AF14">
        <v>3.502513964971639</v>
      </c>
      <c r="AG14">
        <v>0.69351467151272317</v>
      </c>
      <c r="AH14" t="str">
        <f t="shared" si="1"/>
        <v>True</v>
      </c>
      <c r="AI14">
        <v>6</v>
      </c>
    </row>
    <row r="15" spans="1:35" x14ac:dyDescent="0.35">
      <c r="A15" t="s">
        <v>51</v>
      </c>
      <c r="B15" t="s">
        <v>49</v>
      </c>
      <c r="C15" t="s">
        <v>33</v>
      </c>
      <c r="D15" t="s">
        <v>39</v>
      </c>
      <c r="E15" t="s">
        <v>52</v>
      </c>
      <c r="F15" t="s">
        <v>39</v>
      </c>
      <c r="G15" t="s">
        <v>37</v>
      </c>
      <c r="H15" t="s">
        <v>35</v>
      </c>
      <c r="I15" t="s">
        <v>37</v>
      </c>
      <c r="J15" t="s">
        <v>35</v>
      </c>
      <c r="K15" t="s">
        <v>37</v>
      </c>
      <c r="L15" t="s">
        <v>37</v>
      </c>
      <c r="M15" t="s">
        <v>37</v>
      </c>
      <c r="N15" t="s">
        <v>37</v>
      </c>
      <c r="O15" t="str">
        <f t="shared" si="2"/>
        <v>True</v>
      </c>
      <c r="P15" s="3">
        <v>3785063.07</v>
      </c>
      <c r="Q15" s="3">
        <v>35079.288144032507</v>
      </c>
      <c r="R15" s="3">
        <v>56252.869710455903</v>
      </c>
      <c r="S15" s="3">
        <v>92639.285226509004</v>
      </c>
      <c r="T15" s="3">
        <v>29263.251994555521</v>
      </c>
      <c r="U15">
        <v>0.2106213185981112</v>
      </c>
      <c r="V15" s="3">
        <v>-2074740.635899771</v>
      </c>
      <c r="W15">
        <v>44.261397670214834</v>
      </c>
      <c r="X15">
        <v>128.93293122104529</v>
      </c>
      <c r="Y15">
        <v>159.0388813248037</v>
      </c>
      <c r="Z15" s="5">
        <v>0.55227239054684407</v>
      </c>
      <c r="AA15">
        <v>8.7655810198548707</v>
      </c>
      <c r="AB15">
        <v>873.80512194679704</v>
      </c>
      <c r="AC15">
        <v>797.21497478041488</v>
      </c>
      <c r="AD15" s="5">
        <v>0.47708281686246973</v>
      </c>
      <c r="AE15">
        <v>59.406154187694398</v>
      </c>
      <c r="AF15">
        <v>54.199128069917393</v>
      </c>
      <c r="AG15">
        <v>10.81235171152381</v>
      </c>
      <c r="AH15" t="str">
        <f t="shared" si="1"/>
        <v>True</v>
      </c>
      <c r="AI15">
        <v>11</v>
      </c>
    </row>
    <row r="16" spans="1:35" x14ac:dyDescent="0.35">
      <c r="A16" t="s">
        <v>53</v>
      </c>
      <c r="B16" t="s">
        <v>49</v>
      </c>
      <c r="C16" t="s">
        <v>33</v>
      </c>
      <c r="D16" t="s">
        <v>39</v>
      </c>
      <c r="E16" t="s">
        <v>39</v>
      </c>
      <c r="F16" t="s">
        <v>39</v>
      </c>
      <c r="G16" t="s">
        <v>35</v>
      </c>
      <c r="H16" t="s">
        <v>35</v>
      </c>
      <c r="I16" t="s">
        <v>35</v>
      </c>
      <c r="J16" t="s">
        <v>35</v>
      </c>
      <c r="K16" t="s">
        <v>37</v>
      </c>
      <c r="L16" t="s">
        <v>35</v>
      </c>
      <c r="M16" t="s">
        <v>35</v>
      </c>
      <c r="N16" t="s">
        <v>35</v>
      </c>
      <c r="O16" t="str">
        <f t="shared" si="2"/>
        <v>False</v>
      </c>
      <c r="P16" s="3">
        <v>51088.000000000007</v>
      </c>
      <c r="Q16" s="3">
        <v>89876.586329791025</v>
      </c>
      <c r="R16" s="3">
        <v>1455.5715246973889</v>
      </c>
      <c r="S16" s="3">
        <v>121766.8027608421</v>
      </c>
      <c r="T16" s="3">
        <v>135.73446022247961</v>
      </c>
      <c r="U16">
        <v>0.34218746486619178</v>
      </c>
      <c r="V16" s="3">
        <v>-19261.88030160264</v>
      </c>
      <c r="W16">
        <v>32.104447846070663</v>
      </c>
      <c r="X16">
        <v>284.10518766557561</v>
      </c>
      <c r="Y16">
        <v>3.866624880273378</v>
      </c>
      <c r="Z16" s="5">
        <v>1.34270949857558E-2</v>
      </c>
      <c r="AA16">
        <v>19.315057968969722</v>
      </c>
      <c r="AB16">
        <v>1653.5384235221279</v>
      </c>
      <c r="AC16">
        <v>17.481673205084011</v>
      </c>
      <c r="AD16" s="5">
        <v>1.0461677414486399E-2</v>
      </c>
      <c r="AE16">
        <v>112.41678044205101</v>
      </c>
      <c r="AF16">
        <v>1.188501815560814</v>
      </c>
      <c r="AG16">
        <v>0.26287476240896268</v>
      </c>
      <c r="AH16" t="str">
        <f t="shared" si="1"/>
        <v>False</v>
      </c>
      <c r="AI16">
        <v>7</v>
      </c>
    </row>
    <row r="17" spans="1:35" x14ac:dyDescent="0.35">
      <c r="A17" t="s">
        <v>54</v>
      </c>
      <c r="B17" t="s">
        <v>49</v>
      </c>
      <c r="C17" t="s">
        <v>33</v>
      </c>
      <c r="D17" t="s">
        <v>39</v>
      </c>
      <c r="E17" t="s">
        <v>39</v>
      </c>
      <c r="F17" t="s">
        <v>39</v>
      </c>
      <c r="G17" t="s">
        <v>35</v>
      </c>
      <c r="H17" t="s">
        <v>35</v>
      </c>
      <c r="I17" t="s">
        <v>35</v>
      </c>
      <c r="J17" t="s">
        <v>35</v>
      </c>
      <c r="K17" t="s">
        <v>35</v>
      </c>
      <c r="L17" t="s">
        <v>37</v>
      </c>
      <c r="M17" t="s">
        <v>35</v>
      </c>
      <c r="N17" t="s">
        <v>35</v>
      </c>
      <c r="O17" t="str">
        <f t="shared" si="2"/>
        <v>False</v>
      </c>
      <c r="P17" s="3">
        <v>903873.51</v>
      </c>
      <c r="Q17" s="3">
        <v>90539.367409570274</v>
      </c>
      <c r="R17" s="3">
        <v>792.79044491814159</v>
      </c>
      <c r="S17" s="3">
        <v>121303.3449943434</v>
      </c>
      <c r="T17" s="3">
        <v>599.19222672117371</v>
      </c>
      <c r="U17">
        <v>1.34765703361073E-2</v>
      </c>
      <c r="V17" s="3">
        <v>-876033.85656721354</v>
      </c>
      <c r="W17">
        <v>649.34250146628813</v>
      </c>
      <c r="X17">
        <v>285.65571439063518</v>
      </c>
      <c r="Y17">
        <v>2.3160981552138078</v>
      </c>
      <c r="Z17" s="5">
        <v>8.0427946566647007E-3</v>
      </c>
      <c r="AA17">
        <v>19.420471438618211</v>
      </c>
      <c r="AB17">
        <v>1658.838981794753</v>
      </c>
      <c r="AC17">
        <v>12.181114932459201</v>
      </c>
      <c r="AD17" s="5">
        <v>7.2896280280031001E-3</v>
      </c>
      <c r="AE17">
        <v>112.7771420079375</v>
      </c>
      <c r="AF17">
        <v>0.82814024967429434</v>
      </c>
      <c r="AG17">
        <v>0.1574612927604733</v>
      </c>
      <c r="AH17" t="str">
        <f t="shared" si="1"/>
        <v>False</v>
      </c>
      <c r="AI17">
        <v>11</v>
      </c>
    </row>
    <row r="18" spans="1:35" x14ac:dyDescent="0.35">
      <c r="A18" t="s">
        <v>55</v>
      </c>
      <c r="B18" t="s">
        <v>49</v>
      </c>
      <c r="C18" t="s">
        <v>33</v>
      </c>
      <c r="D18" t="s">
        <v>39</v>
      </c>
      <c r="E18" t="s">
        <v>39</v>
      </c>
      <c r="F18" t="s">
        <v>39</v>
      </c>
      <c r="G18" t="s">
        <v>35</v>
      </c>
      <c r="H18" t="s">
        <v>35</v>
      </c>
      <c r="I18" t="s">
        <v>37</v>
      </c>
      <c r="J18" t="s">
        <v>35</v>
      </c>
      <c r="K18" t="s">
        <v>35</v>
      </c>
      <c r="L18" t="s">
        <v>35</v>
      </c>
      <c r="M18" t="s">
        <v>35</v>
      </c>
      <c r="N18" t="s">
        <v>35</v>
      </c>
      <c r="O18" t="str">
        <f t="shared" si="2"/>
        <v>False</v>
      </c>
      <c r="P18" s="3">
        <v>1734957.675</v>
      </c>
      <c r="Q18" s="3">
        <v>62732.168068989376</v>
      </c>
      <c r="R18" s="3">
        <v>28599.989785499041</v>
      </c>
      <c r="S18" s="3">
        <v>116726.5130023191</v>
      </c>
      <c r="T18" s="3">
        <v>5176.0242187454369</v>
      </c>
      <c r="U18">
        <v>0.2053046670943306</v>
      </c>
      <c r="V18" s="3">
        <v>-1059437.39491511</v>
      </c>
      <c r="W18">
        <v>51.366560742838857</v>
      </c>
      <c r="X18">
        <v>210.99431065449389</v>
      </c>
      <c r="Y18">
        <v>76.977501891355075</v>
      </c>
      <c r="Z18" s="5">
        <v>0.26730915505523378</v>
      </c>
      <c r="AA18">
        <v>14.34457207522564</v>
      </c>
      <c r="AB18">
        <v>1314.825188838583</v>
      </c>
      <c r="AC18">
        <v>356.1949078886289</v>
      </c>
      <c r="AD18" s="5">
        <v>0.21316015802937199</v>
      </c>
      <c r="AE18">
        <v>89.389162338607861</v>
      </c>
      <c r="AF18">
        <v>24.21611991900394</v>
      </c>
      <c r="AG18">
        <v>5.2333606561530424</v>
      </c>
      <c r="AH18" t="str">
        <f t="shared" si="1"/>
        <v>True</v>
      </c>
      <c r="AI18">
        <v>9</v>
      </c>
    </row>
    <row r="19" spans="1:35" x14ac:dyDescent="0.35">
      <c r="A19" t="s">
        <v>56</v>
      </c>
      <c r="B19" t="s">
        <v>49</v>
      </c>
      <c r="C19" t="s">
        <v>33</v>
      </c>
      <c r="D19" t="s">
        <v>39</v>
      </c>
      <c r="E19" t="s">
        <v>39</v>
      </c>
      <c r="F19" t="s">
        <v>39</v>
      </c>
      <c r="G19" t="s">
        <v>35</v>
      </c>
      <c r="H19" t="s">
        <v>35</v>
      </c>
      <c r="I19" t="s">
        <v>35</v>
      </c>
      <c r="J19" t="s">
        <v>37</v>
      </c>
      <c r="K19" t="s">
        <v>35</v>
      </c>
      <c r="L19" t="s">
        <v>35</v>
      </c>
      <c r="M19" t="s">
        <v>35</v>
      </c>
      <c r="N19" t="s">
        <v>35</v>
      </c>
      <c r="O19" t="str">
        <f t="shared" si="2"/>
        <v>False</v>
      </c>
      <c r="P19" s="3">
        <v>2129266.2374999998</v>
      </c>
      <c r="Q19" s="3">
        <v>56144.560158106833</v>
      </c>
      <c r="R19" s="3">
        <v>35187.597696381577</v>
      </c>
      <c r="S19" s="3">
        <v>114451.2239241483</v>
      </c>
      <c r="T19" s="3">
        <v>7451.3132969162452</v>
      </c>
      <c r="U19">
        <v>0.20839258530972121</v>
      </c>
      <c r="V19" s="3">
        <v>-1276488.017634043</v>
      </c>
      <c r="W19">
        <v>49.937162744017712</v>
      </c>
      <c r="X19">
        <v>192.8303932951728</v>
      </c>
      <c r="Y19">
        <v>95.141419250676222</v>
      </c>
      <c r="Z19" s="5">
        <v>0.33038448593133901</v>
      </c>
      <c r="AA19">
        <v>13.1096874903238</v>
      </c>
      <c r="AB19">
        <v>1227.296800681884</v>
      </c>
      <c r="AC19">
        <v>443.72329604532769</v>
      </c>
      <c r="AD19" s="5">
        <v>0.26554037076776338</v>
      </c>
      <c r="AE19">
        <v>83.438493485749149</v>
      </c>
      <c r="AF19">
        <v>30.166788771862649</v>
      </c>
      <c r="AG19">
        <v>6.4682452410548814</v>
      </c>
      <c r="AH19" t="str">
        <f t="shared" si="1"/>
        <v>True</v>
      </c>
      <c r="AI19">
        <v>9</v>
      </c>
    </row>
    <row r="20" spans="1:35" x14ac:dyDescent="0.35">
      <c r="A20" t="s">
        <v>57</v>
      </c>
      <c r="B20" t="s">
        <v>49</v>
      </c>
      <c r="C20" t="s">
        <v>33</v>
      </c>
      <c r="D20" t="s">
        <v>39</v>
      </c>
      <c r="E20" t="s">
        <v>39</v>
      </c>
      <c r="F20" t="s">
        <v>39</v>
      </c>
      <c r="G20" t="s">
        <v>35</v>
      </c>
      <c r="H20" t="s">
        <v>35</v>
      </c>
      <c r="I20" t="s">
        <v>35</v>
      </c>
      <c r="J20" t="s">
        <v>35</v>
      </c>
      <c r="K20" t="s">
        <v>35</v>
      </c>
      <c r="L20" t="s">
        <v>35</v>
      </c>
      <c r="M20" t="s">
        <v>35</v>
      </c>
      <c r="N20" t="s">
        <v>37</v>
      </c>
      <c r="O20" t="str">
        <f t="shared" si="2"/>
        <v>False</v>
      </c>
      <c r="P20" s="3">
        <v>85362.86</v>
      </c>
      <c r="Q20" s="3">
        <v>81432.180193343578</v>
      </c>
      <c r="R20" s="3">
        <v>9899.9776611448342</v>
      </c>
      <c r="S20" s="3">
        <v>121902.53724837481</v>
      </c>
      <c r="T20" s="3">
        <v>-2.7310283314818659E-5</v>
      </c>
      <c r="U20">
        <v>1.338124308677463</v>
      </c>
      <c r="V20" s="3">
        <v>112636.692676691</v>
      </c>
      <c r="W20">
        <v>8.6225305912066457</v>
      </c>
      <c r="X20">
        <v>262.04248373388322</v>
      </c>
      <c r="Y20">
        <v>25.929328811965831</v>
      </c>
      <c r="Z20" s="5">
        <v>9.0041204320431598E-2</v>
      </c>
      <c r="AA20">
        <v>17.81511209014095</v>
      </c>
      <c r="AB20">
        <v>1556.7939787029809</v>
      </c>
      <c r="AC20">
        <v>114.226118024231</v>
      </c>
      <c r="AD20" s="5">
        <v>6.8357118054982902E-2</v>
      </c>
      <c r="AE20">
        <v>105.8395525666586</v>
      </c>
      <c r="AF20">
        <v>7.7657296909532274</v>
      </c>
      <c r="AG20">
        <v>1.762820641237735</v>
      </c>
      <c r="AH20" t="str">
        <f t="shared" si="1"/>
        <v>False</v>
      </c>
      <c r="AI20">
        <v>0</v>
      </c>
    </row>
    <row r="21" spans="1:35" x14ac:dyDescent="0.35">
      <c r="A21" t="s">
        <v>58</v>
      </c>
      <c r="B21" t="s">
        <v>49</v>
      </c>
      <c r="C21" t="s">
        <v>33</v>
      </c>
      <c r="D21" t="s">
        <v>39</v>
      </c>
      <c r="E21" t="s">
        <v>39</v>
      </c>
      <c r="F21" t="s">
        <v>39</v>
      </c>
      <c r="G21" t="s">
        <v>35</v>
      </c>
      <c r="H21" t="s">
        <v>35</v>
      </c>
      <c r="I21" t="s">
        <v>35</v>
      </c>
      <c r="J21" t="s">
        <v>35</v>
      </c>
      <c r="K21" t="s">
        <v>35</v>
      </c>
      <c r="L21" t="s">
        <v>35</v>
      </c>
      <c r="M21" t="s">
        <v>37</v>
      </c>
      <c r="N21" t="s">
        <v>35</v>
      </c>
      <c r="O21" t="str">
        <f t="shared" si="2"/>
        <v>False</v>
      </c>
      <c r="P21" s="3">
        <v>917500</v>
      </c>
      <c r="Q21" s="3">
        <v>72819.093406513945</v>
      </c>
      <c r="R21" s="3">
        <v>18513.064447974481</v>
      </c>
      <c r="S21" s="3">
        <v>100280.0769228102</v>
      </c>
      <c r="T21" s="3">
        <v>21622.460298254369</v>
      </c>
      <c r="U21">
        <v>0.35213610701659159</v>
      </c>
      <c r="V21" s="3">
        <v>-114789.5050754229</v>
      </c>
      <c r="W21">
        <v>22.86004744677491</v>
      </c>
      <c r="X21">
        <v>230.83470531947211</v>
      </c>
      <c r="Y21">
        <v>57.137107226376877</v>
      </c>
      <c r="Z21" s="5">
        <v>0.19841215263830689</v>
      </c>
      <c r="AA21">
        <v>15.693432953937871</v>
      </c>
      <c r="AB21">
        <v>1347.9352185394889</v>
      </c>
      <c r="AC21">
        <v>323.08487818772278</v>
      </c>
      <c r="AD21" s="5">
        <v>0.1933458962106458</v>
      </c>
      <c r="AE21">
        <v>91.640167145250473</v>
      </c>
      <c r="AF21">
        <v>21.965115112361332</v>
      </c>
      <c r="AG21">
        <v>3.8844997774408139</v>
      </c>
      <c r="AH21" t="str">
        <f t="shared" si="1"/>
        <v>False</v>
      </c>
      <c r="AI21">
        <v>0</v>
      </c>
    </row>
    <row r="22" spans="1:35" x14ac:dyDescent="0.35">
      <c r="A22" t="s">
        <v>59</v>
      </c>
      <c r="B22" t="s">
        <v>49</v>
      </c>
      <c r="C22" t="s">
        <v>33</v>
      </c>
      <c r="D22" t="s">
        <v>39</v>
      </c>
      <c r="E22" t="s">
        <v>39</v>
      </c>
      <c r="F22" t="s">
        <v>39</v>
      </c>
      <c r="G22" t="s">
        <v>37</v>
      </c>
      <c r="H22" t="s">
        <v>35</v>
      </c>
      <c r="I22" t="s">
        <v>35</v>
      </c>
      <c r="J22" t="s">
        <v>35</v>
      </c>
      <c r="K22" t="s">
        <v>37</v>
      </c>
      <c r="L22" t="s">
        <v>37</v>
      </c>
      <c r="M22" t="s">
        <v>35</v>
      </c>
      <c r="N22" t="s">
        <v>35</v>
      </c>
      <c r="O22" t="str">
        <f t="shared" si="2"/>
        <v>True</v>
      </c>
      <c r="P22" s="3">
        <v>1095127.7162500001</v>
      </c>
      <c r="Q22" s="3">
        <v>85534.773857379405</v>
      </c>
      <c r="R22" s="3">
        <v>5797.3839971090183</v>
      </c>
      <c r="S22" s="3">
        <v>119177.9579949734</v>
      </c>
      <c r="T22" s="3">
        <v>2724.5792260911448</v>
      </c>
      <c r="U22">
        <v>7.3676938521518104E-2</v>
      </c>
      <c r="V22" s="3">
        <v>-924688.45178599679</v>
      </c>
      <c r="W22">
        <v>128.50650578597049</v>
      </c>
      <c r="X22">
        <v>271.69787831308253</v>
      </c>
      <c r="Y22">
        <v>16.273934232766461</v>
      </c>
      <c r="Z22" s="5">
        <v>5.65122471150728E-2</v>
      </c>
      <c r="AA22">
        <v>18.471539758860729</v>
      </c>
      <c r="AB22">
        <v>1590.3344393038501</v>
      </c>
      <c r="AC22">
        <v>80.685657423361818</v>
      </c>
      <c r="AD22" s="5">
        <v>4.82852705251057E-2</v>
      </c>
      <c r="AE22">
        <v>108.119820470722</v>
      </c>
      <c r="AF22">
        <v>5.4854617868897826</v>
      </c>
      <c r="AG22">
        <v>1.106392972517948</v>
      </c>
      <c r="AH22" t="str">
        <f t="shared" si="1"/>
        <v>True</v>
      </c>
      <c r="AI22">
        <v>11</v>
      </c>
    </row>
    <row r="23" spans="1:35" x14ac:dyDescent="0.35">
      <c r="A23" t="s">
        <v>60</v>
      </c>
      <c r="B23" t="s">
        <v>49</v>
      </c>
      <c r="C23" t="s">
        <v>33</v>
      </c>
      <c r="D23" t="s">
        <v>39</v>
      </c>
      <c r="E23" t="s">
        <v>39</v>
      </c>
      <c r="F23" t="s">
        <v>39</v>
      </c>
      <c r="G23" t="s">
        <v>37</v>
      </c>
      <c r="H23" t="s">
        <v>35</v>
      </c>
      <c r="I23" t="s">
        <v>35</v>
      </c>
      <c r="J23" t="s">
        <v>35</v>
      </c>
      <c r="K23" t="s">
        <v>37</v>
      </c>
      <c r="L23" t="s">
        <v>37</v>
      </c>
      <c r="M23" t="s">
        <v>35</v>
      </c>
      <c r="N23" t="s">
        <v>37</v>
      </c>
      <c r="O23" t="str">
        <f t="shared" si="2"/>
        <v>True</v>
      </c>
      <c r="P23" s="3">
        <v>1167631.06</v>
      </c>
      <c r="Q23" s="3">
        <v>76262.340650099504</v>
      </c>
      <c r="R23" s="3">
        <v>15069.81720438891</v>
      </c>
      <c r="S23" s="3">
        <v>119177.9580222888</v>
      </c>
      <c r="T23" s="3">
        <v>2724.579198775697</v>
      </c>
      <c r="U23">
        <v>0.1607281296442386</v>
      </c>
      <c r="V23" s="3">
        <v>-811743.13193670788</v>
      </c>
      <c r="W23">
        <v>65.617907657286139</v>
      </c>
      <c r="X23">
        <v>247.41217002756781</v>
      </c>
      <c r="Y23">
        <v>40.559642518281237</v>
      </c>
      <c r="Z23" s="5">
        <v>0.1408458771006402</v>
      </c>
      <c r="AA23">
        <v>16.820461624010321</v>
      </c>
      <c r="AB23">
        <v>1483.3489403388919</v>
      </c>
      <c r="AC23">
        <v>187.67115638831979</v>
      </c>
      <c r="AD23" s="5">
        <v>0.11230933533108579</v>
      </c>
      <c r="AE23">
        <v>100.846348517159</v>
      </c>
      <c r="AF23">
        <v>12.75893374045277</v>
      </c>
      <c r="AG23">
        <v>2.7574711073683642</v>
      </c>
      <c r="AH23" t="str">
        <f t="shared" si="1"/>
        <v>True</v>
      </c>
      <c r="AI23">
        <v>11</v>
      </c>
    </row>
    <row r="24" spans="1:35" x14ac:dyDescent="0.35">
      <c r="A24" t="s">
        <v>61</v>
      </c>
      <c r="B24" t="s">
        <v>62</v>
      </c>
      <c r="C24" t="s">
        <v>63</v>
      </c>
      <c r="D24" t="s">
        <v>39</v>
      </c>
      <c r="E24" t="s">
        <v>52</v>
      </c>
      <c r="F24" t="s">
        <v>39</v>
      </c>
      <c r="G24" t="s">
        <v>35</v>
      </c>
      <c r="H24" t="s">
        <v>35</v>
      </c>
      <c r="I24" t="s">
        <v>35</v>
      </c>
      <c r="J24" t="s">
        <v>35</v>
      </c>
      <c r="K24" t="s">
        <v>35</v>
      </c>
      <c r="L24" t="s">
        <v>35</v>
      </c>
      <c r="M24" t="s">
        <v>35</v>
      </c>
      <c r="N24" t="s">
        <v>35</v>
      </c>
      <c r="O24" t="str">
        <f t="shared" si="2"/>
        <v>False</v>
      </c>
      <c r="P24" s="3">
        <v>0</v>
      </c>
      <c r="Q24" s="3">
        <v>29497.42591407293</v>
      </c>
      <c r="R24" s="3">
        <v>0</v>
      </c>
      <c r="S24" s="3">
        <v>45524.357291784821</v>
      </c>
      <c r="T24" s="3">
        <v>0</v>
      </c>
      <c r="U24">
        <v>0</v>
      </c>
      <c r="V24" s="3">
        <v>0</v>
      </c>
      <c r="W24">
        <v>0</v>
      </c>
      <c r="X24">
        <v>95.467337038031076</v>
      </c>
      <c r="Y24">
        <v>0</v>
      </c>
      <c r="Z24" s="5">
        <v>0</v>
      </c>
      <c r="AA24">
        <v>15.46280159346146</v>
      </c>
      <c r="AB24">
        <v>570.84489921809597</v>
      </c>
      <c r="AC24">
        <v>0</v>
      </c>
      <c r="AD24" s="5">
        <v>0</v>
      </c>
      <c r="AE24">
        <v>92.459491288969218</v>
      </c>
      <c r="AF24">
        <v>0</v>
      </c>
      <c r="AG24">
        <v>-3.5527136788005009E-15</v>
      </c>
      <c r="AH24" t="str">
        <f t="shared" si="1"/>
        <v>False</v>
      </c>
      <c r="AI24">
        <v>0</v>
      </c>
    </row>
    <row r="25" spans="1:35" x14ac:dyDescent="0.35">
      <c r="A25" t="s">
        <v>64</v>
      </c>
      <c r="B25" t="s">
        <v>62</v>
      </c>
      <c r="C25" t="s">
        <v>63</v>
      </c>
      <c r="D25" t="s">
        <v>39</v>
      </c>
      <c r="E25" t="s">
        <v>52</v>
      </c>
      <c r="F25" t="s">
        <v>39</v>
      </c>
      <c r="G25" t="s">
        <v>37</v>
      </c>
      <c r="H25" t="s">
        <v>35</v>
      </c>
      <c r="I25" t="s">
        <v>35</v>
      </c>
      <c r="J25" t="s">
        <v>35</v>
      </c>
      <c r="K25" t="s">
        <v>35</v>
      </c>
      <c r="L25" t="s">
        <v>35</v>
      </c>
      <c r="M25" t="s">
        <v>35</v>
      </c>
      <c r="N25" t="s">
        <v>35</v>
      </c>
      <c r="O25" t="str">
        <f t="shared" si="2"/>
        <v>False</v>
      </c>
      <c r="P25" s="3">
        <v>117613.0575</v>
      </c>
      <c r="Q25" s="3">
        <v>28515.903906628169</v>
      </c>
      <c r="R25" s="3">
        <v>981.52200744476522</v>
      </c>
      <c r="S25" s="3">
        <v>37298.335852387077</v>
      </c>
      <c r="T25" s="3">
        <v>8226.0214393977385</v>
      </c>
      <c r="U25">
        <v>0.45042243568426082</v>
      </c>
      <c r="V25" s="3">
        <v>66537.811436850112</v>
      </c>
      <c r="W25">
        <v>12.773554442507949</v>
      </c>
      <c r="X25">
        <v>89.606194694071192</v>
      </c>
      <c r="Y25">
        <v>5.8611423439598838</v>
      </c>
      <c r="Z25" s="5">
        <v>6.1394216344643503E-2</v>
      </c>
      <c r="AA25">
        <v>14.51347500713819</v>
      </c>
      <c r="AB25">
        <v>517.86933939067296</v>
      </c>
      <c r="AC25">
        <v>52.975559827423012</v>
      </c>
      <c r="AD25" s="5">
        <v>9.2802020128383803E-2</v>
      </c>
      <c r="AE25">
        <v>83.879063717310174</v>
      </c>
      <c r="AF25">
        <v>8.5804275716590563</v>
      </c>
      <c r="AG25">
        <v>0.94932658632326838</v>
      </c>
      <c r="AH25" t="str">
        <f t="shared" si="1"/>
        <v>True</v>
      </c>
      <c r="AI25">
        <v>8</v>
      </c>
    </row>
    <row r="26" spans="1:35" x14ac:dyDescent="0.35">
      <c r="A26" t="s">
        <v>65</v>
      </c>
      <c r="B26" t="s">
        <v>62</v>
      </c>
      <c r="C26" t="s">
        <v>63</v>
      </c>
      <c r="D26" t="s">
        <v>52</v>
      </c>
      <c r="E26" t="s">
        <v>52</v>
      </c>
      <c r="F26" t="s">
        <v>52</v>
      </c>
      <c r="G26" t="s">
        <v>35</v>
      </c>
      <c r="H26" t="s">
        <v>37</v>
      </c>
      <c r="I26" t="s">
        <v>35</v>
      </c>
      <c r="J26" t="s">
        <v>37</v>
      </c>
      <c r="K26" t="s">
        <v>35</v>
      </c>
      <c r="L26" t="s">
        <v>35</v>
      </c>
      <c r="M26" t="s">
        <v>37</v>
      </c>
      <c r="N26" t="s">
        <v>37</v>
      </c>
      <c r="O26" t="str">
        <f t="shared" si="2"/>
        <v>True</v>
      </c>
      <c r="P26" s="3">
        <v>1396879.8</v>
      </c>
      <c r="Q26" s="3">
        <v>20240.22978278311</v>
      </c>
      <c r="R26" s="3">
        <v>9257.1961312898311</v>
      </c>
      <c r="S26" s="3">
        <v>29414.18684698761</v>
      </c>
      <c r="T26" s="3">
        <v>16110.17044479721</v>
      </c>
      <c r="U26">
        <v>0.1348578286510736</v>
      </c>
      <c r="V26" s="3">
        <v>-889532.46847825916</v>
      </c>
      <c r="W26">
        <v>55.066015457701923</v>
      </c>
      <c r="X26">
        <v>64.777468447018933</v>
      </c>
      <c r="Y26">
        <v>30.689868591012139</v>
      </c>
      <c r="Z26" s="5">
        <v>0.32146982982029032</v>
      </c>
      <c r="AA26">
        <v>10.49197739666649</v>
      </c>
      <c r="AB26">
        <v>382.46472250354998</v>
      </c>
      <c r="AC26">
        <v>188.380176714546</v>
      </c>
      <c r="AD26" s="5">
        <v>0.33000238238543639</v>
      </c>
      <c r="AE26">
        <v>61.947638889463882</v>
      </c>
      <c r="AF26">
        <v>30.51185239950534</v>
      </c>
      <c r="AG26">
        <v>4.9708241967949656</v>
      </c>
      <c r="AH26" t="str">
        <f t="shared" si="1"/>
        <v>True</v>
      </c>
      <c r="AI26">
        <v>6</v>
      </c>
    </row>
    <row r="27" spans="1:35" x14ac:dyDescent="0.35">
      <c r="A27" t="s">
        <v>66</v>
      </c>
      <c r="B27" t="s">
        <v>62</v>
      </c>
      <c r="C27" t="s">
        <v>63</v>
      </c>
      <c r="D27" t="s">
        <v>39</v>
      </c>
      <c r="E27" t="s">
        <v>52</v>
      </c>
      <c r="F27" t="s">
        <v>39</v>
      </c>
      <c r="G27" t="s">
        <v>35</v>
      </c>
      <c r="H27" t="s">
        <v>37</v>
      </c>
      <c r="I27" t="s">
        <v>35</v>
      </c>
      <c r="J27" t="s">
        <v>35</v>
      </c>
      <c r="K27" t="s">
        <v>35</v>
      </c>
      <c r="L27" t="s">
        <v>35</v>
      </c>
      <c r="M27" t="s">
        <v>35</v>
      </c>
      <c r="N27" t="s">
        <v>35</v>
      </c>
      <c r="O27" t="str">
        <f t="shared" si="2"/>
        <v>False</v>
      </c>
      <c r="P27" s="3">
        <v>282271.33799999999</v>
      </c>
      <c r="Q27" s="3">
        <v>28515.903906628169</v>
      </c>
      <c r="R27" s="3">
        <v>981.52200744476522</v>
      </c>
      <c r="S27" s="3">
        <v>37298.335852387077</v>
      </c>
      <c r="T27" s="3">
        <v>8226.0214393977385</v>
      </c>
      <c r="U27">
        <v>0.18767601486844199</v>
      </c>
      <c r="V27" s="3">
        <v>-98120.469063149882</v>
      </c>
      <c r="W27">
        <v>30.656530662019069</v>
      </c>
      <c r="X27">
        <v>89.606194694071192</v>
      </c>
      <c r="Y27">
        <v>5.8611423439598838</v>
      </c>
      <c r="Z27" s="5">
        <v>6.1394216344643503E-2</v>
      </c>
      <c r="AA27">
        <v>14.51347500713819</v>
      </c>
      <c r="AB27">
        <v>517.86933939067296</v>
      </c>
      <c r="AC27">
        <v>52.975559827423012</v>
      </c>
      <c r="AD27" s="5">
        <v>9.2802020128383803E-2</v>
      </c>
      <c r="AE27">
        <v>83.879063717310174</v>
      </c>
      <c r="AF27">
        <v>8.5804275716590563</v>
      </c>
      <c r="AG27">
        <v>0.94932658632326838</v>
      </c>
      <c r="AH27" t="str">
        <f t="shared" si="1"/>
        <v>False</v>
      </c>
      <c r="AI27">
        <v>6</v>
      </c>
    </row>
    <row r="28" spans="1:35" x14ac:dyDescent="0.35">
      <c r="A28" t="s">
        <v>67</v>
      </c>
      <c r="B28" t="s">
        <v>62</v>
      </c>
      <c r="C28" t="s">
        <v>63</v>
      </c>
      <c r="D28" t="s">
        <v>39</v>
      </c>
      <c r="E28" t="s">
        <v>52</v>
      </c>
      <c r="F28" t="s">
        <v>39</v>
      </c>
      <c r="G28" t="s">
        <v>35</v>
      </c>
      <c r="H28" t="s">
        <v>35</v>
      </c>
      <c r="I28" t="s">
        <v>35</v>
      </c>
      <c r="J28" t="s">
        <v>35</v>
      </c>
      <c r="K28" t="s">
        <v>35</v>
      </c>
      <c r="L28" t="s">
        <v>35</v>
      </c>
      <c r="M28" t="s">
        <v>35</v>
      </c>
      <c r="N28" t="s">
        <v>37</v>
      </c>
      <c r="O28" t="str">
        <f t="shared" si="2"/>
        <v>False</v>
      </c>
      <c r="P28" s="3">
        <v>26071.4</v>
      </c>
      <c r="Q28" s="3">
        <v>27021.347259063219</v>
      </c>
      <c r="R28" s="3">
        <v>2476.07865500972</v>
      </c>
      <c r="S28" s="3">
        <v>45529.742663420802</v>
      </c>
      <c r="T28" s="3">
        <v>-5.3853716359864734</v>
      </c>
      <c r="U28">
        <v>1.094754091200973</v>
      </c>
      <c r="V28" s="3">
        <v>23342.465667474669</v>
      </c>
      <c r="W28">
        <v>10.55226084736811</v>
      </c>
      <c r="X28">
        <v>88.984319216139639</v>
      </c>
      <c r="Y28">
        <v>6.4830178218914369</v>
      </c>
      <c r="Z28" s="5">
        <v>6.79082293801576E-2</v>
      </c>
      <c r="AA28">
        <v>14.41275011599282</v>
      </c>
      <c r="AB28">
        <v>542.30312740475892</v>
      </c>
      <c r="AC28">
        <v>28.54177181333705</v>
      </c>
      <c r="AD28" s="5">
        <v>4.9999171145142199E-2</v>
      </c>
      <c r="AE28">
        <v>87.836593360019265</v>
      </c>
      <c r="AF28">
        <v>4.6228979289499597</v>
      </c>
      <c r="AG28">
        <v>1.050051477468644</v>
      </c>
      <c r="AH28" t="str">
        <f t="shared" si="1"/>
        <v>False</v>
      </c>
      <c r="AI28">
        <v>0</v>
      </c>
    </row>
    <row r="29" spans="1:35" x14ac:dyDescent="0.35">
      <c r="A29" t="s">
        <v>68</v>
      </c>
      <c r="B29" t="s">
        <v>62</v>
      </c>
      <c r="C29" t="s">
        <v>63</v>
      </c>
      <c r="D29" t="s">
        <v>39</v>
      </c>
      <c r="E29" t="s">
        <v>52</v>
      </c>
      <c r="F29" t="s">
        <v>39</v>
      </c>
      <c r="G29" t="s">
        <v>35</v>
      </c>
      <c r="H29" t="s">
        <v>35</v>
      </c>
      <c r="I29" t="s">
        <v>37</v>
      </c>
      <c r="J29" t="s">
        <v>35</v>
      </c>
      <c r="K29" t="s">
        <v>35</v>
      </c>
      <c r="L29" t="s">
        <v>35</v>
      </c>
      <c r="M29" t="s">
        <v>35</v>
      </c>
      <c r="N29" t="s">
        <v>35</v>
      </c>
      <c r="O29" t="str">
        <f t="shared" si="2"/>
        <v>False</v>
      </c>
      <c r="P29" s="3">
        <v>574997.17000000004</v>
      </c>
      <c r="Q29" s="3">
        <v>26364.56906456075</v>
      </c>
      <c r="R29" s="3">
        <v>3132.856849512189</v>
      </c>
      <c r="S29" s="3">
        <v>41179.074958663587</v>
      </c>
      <c r="T29" s="3">
        <v>4345.2823331212257</v>
      </c>
      <c r="U29">
        <v>0.1011281282145754</v>
      </c>
      <c r="V29" s="3">
        <v>-425434.38634733169</v>
      </c>
      <c r="W29">
        <v>76.890407621099627</v>
      </c>
      <c r="X29">
        <v>85.523864639693528</v>
      </c>
      <c r="Y29">
        <v>9.9434723983375477</v>
      </c>
      <c r="Z29" s="5">
        <v>0.104155753232924</v>
      </c>
      <c r="AA29">
        <v>13.852261846403231</v>
      </c>
      <c r="AB29">
        <v>512.69651168731798</v>
      </c>
      <c r="AC29">
        <v>58.148387530778002</v>
      </c>
      <c r="AD29" s="5">
        <v>0.1018637244730147</v>
      </c>
      <c r="AE29">
        <v>83.041223143394561</v>
      </c>
      <c r="AF29">
        <v>9.4182681455746682</v>
      </c>
      <c r="AG29">
        <v>1.610539747058233</v>
      </c>
      <c r="AH29" t="str">
        <f t="shared" si="1"/>
        <v>True</v>
      </c>
      <c r="AI29">
        <v>3</v>
      </c>
    </row>
    <row r="30" spans="1:35" x14ac:dyDescent="0.35">
      <c r="A30" t="s">
        <v>69</v>
      </c>
      <c r="B30" t="s">
        <v>62</v>
      </c>
      <c r="C30" t="s">
        <v>63</v>
      </c>
      <c r="D30" t="s">
        <v>39</v>
      </c>
      <c r="E30" t="s">
        <v>52</v>
      </c>
      <c r="F30" t="s">
        <v>39</v>
      </c>
      <c r="G30" t="s">
        <v>35</v>
      </c>
      <c r="H30" t="s">
        <v>35</v>
      </c>
      <c r="I30" t="s">
        <v>35</v>
      </c>
      <c r="J30" t="s">
        <v>35</v>
      </c>
      <c r="K30" t="s">
        <v>35</v>
      </c>
      <c r="L30" t="s">
        <v>35</v>
      </c>
      <c r="M30" t="s">
        <v>37</v>
      </c>
      <c r="N30" t="s">
        <v>35</v>
      </c>
      <c r="O30" t="str">
        <f t="shared" si="2"/>
        <v>False</v>
      </c>
      <c r="P30" s="3">
        <v>388650</v>
      </c>
      <c r="Q30" s="3">
        <v>26544.756216897029</v>
      </c>
      <c r="R30" s="3">
        <v>2952.669697175907</v>
      </c>
      <c r="S30" s="3">
        <v>41678.52842095933</v>
      </c>
      <c r="T30" s="3">
        <v>3845.828870825485</v>
      </c>
      <c r="U30">
        <v>0.13776021272443831</v>
      </c>
      <c r="V30" s="3">
        <v>-252680.02863997221</v>
      </c>
      <c r="W30">
        <v>57.167034178585467</v>
      </c>
      <c r="X30">
        <v>86.195579606939461</v>
      </c>
      <c r="Y30">
        <v>9.2717574310916167</v>
      </c>
      <c r="Z30" s="5">
        <v>9.7119682173579899E-2</v>
      </c>
      <c r="AA30">
        <v>13.961059217191361</v>
      </c>
      <c r="AB30">
        <v>517.30439254274302</v>
      </c>
      <c r="AC30">
        <v>53.540506675352958</v>
      </c>
      <c r="AD30" s="5">
        <v>9.3791687985105995E-2</v>
      </c>
      <c r="AE30">
        <v>83.787559530732594</v>
      </c>
      <c r="AF30">
        <v>8.6719317582366315</v>
      </c>
      <c r="AG30">
        <v>1.5017423762701001</v>
      </c>
      <c r="AH30" t="str">
        <f t="shared" si="1"/>
        <v>False</v>
      </c>
      <c r="AI30">
        <v>0</v>
      </c>
    </row>
    <row r="31" spans="1:35" x14ac:dyDescent="0.35">
      <c r="A31" t="s">
        <v>70</v>
      </c>
      <c r="B31" t="s">
        <v>62</v>
      </c>
      <c r="C31" t="s">
        <v>63</v>
      </c>
      <c r="D31" t="s">
        <v>39</v>
      </c>
      <c r="E31" t="s">
        <v>52</v>
      </c>
      <c r="F31" t="s">
        <v>39</v>
      </c>
      <c r="G31" t="s">
        <v>37</v>
      </c>
      <c r="H31" t="s">
        <v>35</v>
      </c>
      <c r="I31" t="s">
        <v>35</v>
      </c>
      <c r="J31" t="s">
        <v>35</v>
      </c>
      <c r="K31" t="s">
        <v>35</v>
      </c>
      <c r="L31" t="s">
        <v>35</v>
      </c>
      <c r="M31" t="s">
        <v>35</v>
      </c>
      <c r="N31" t="s">
        <v>37</v>
      </c>
      <c r="O31" t="str">
        <f t="shared" si="2"/>
        <v>True</v>
      </c>
      <c r="P31" s="3">
        <v>141536.92000000001</v>
      </c>
      <c r="Q31" s="3">
        <v>26073.9364346941</v>
      </c>
      <c r="R31" s="3">
        <v>3423.4894793788339</v>
      </c>
      <c r="S31" s="3">
        <v>37303.737796779737</v>
      </c>
      <c r="T31" s="3">
        <v>8220.6194950050831</v>
      </c>
      <c r="U31">
        <v>0.57316262280989994</v>
      </c>
      <c r="V31" s="3">
        <v>91345.259487678355</v>
      </c>
      <c r="W31">
        <v>12.155238353691949</v>
      </c>
      <c r="X31">
        <v>83.212525125352713</v>
      </c>
      <c r="Y31">
        <v>12.25481191267836</v>
      </c>
      <c r="Z31" s="5">
        <v>0.12836654182358151</v>
      </c>
      <c r="AA31">
        <v>13.47789522600465</v>
      </c>
      <c r="AB31">
        <v>489.72122692646099</v>
      </c>
      <c r="AC31">
        <v>81.123672291634989</v>
      </c>
      <c r="AD31" s="5">
        <v>0.14211158302851201</v>
      </c>
      <c r="AE31">
        <v>79.319926615882892</v>
      </c>
      <c r="AF31">
        <v>13.13956467308633</v>
      </c>
      <c r="AG31">
        <v>1.9849063674568099</v>
      </c>
      <c r="AH31" t="str">
        <f t="shared" si="1"/>
        <v>True</v>
      </c>
      <c r="AI31">
        <v>8</v>
      </c>
    </row>
    <row r="32" spans="1:35" x14ac:dyDescent="0.35">
      <c r="A32" t="s">
        <v>71</v>
      </c>
      <c r="B32" t="s">
        <v>62</v>
      </c>
      <c r="C32" t="s">
        <v>63</v>
      </c>
      <c r="D32" t="s">
        <v>39</v>
      </c>
      <c r="E32" t="s">
        <v>52</v>
      </c>
      <c r="F32" t="s">
        <v>39</v>
      </c>
      <c r="G32" t="s">
        <v>37</v>
      </c>
      <c r="H32" t="s">
        <v>35</v>
      </c>
      <c r="I32" t="s">
        <v>37</v>
      </c>
      <c r="J32" t="s">
        <v>35</v>
      </c>
      <c r="K32" t="s">
        <v>35</v>
      </c>
      <c r="L32" t="s">
        <v>35</v>
      </c>
      <c r="M32" t="s">
        <v>35</v>
      </c>
      <c r="N32" t="s">
        <v>35</v>
      </c>
      <c r="O32" t="str">
        <f t="shared" si="2"/>
        <v>True</v>
      </c>
      <c r="P32" s="3">
        <v>692610</v>
      </c>
      <c r="Q32" s="3">
        <v>25486.073004723148</v>
      </c>
      <c r="R32" s="3">
        <v>4011.3529093497841</v>
      </c>
      <c r="S32" s="3">
        <v>33367.267204988973</v>
      </c>
      <c r="T32" s="3">
        <v>12157.090086795841</v>
      </c>
      <c r="U32">
        <v>0.15569793629808121</v>
      </c>
      <c r="V32" s="3">
        <v>-369241.14007708739</v>
      </c>
      <c r="W32">
        <v>42.837148893378931</v>
      </c>
      <c r="X32">
        <v>80.098246123626552</v>
      </c>
      <c r="Y32">
        <v>15.36909091440452</v>
      </c>
      <c r="Z32" s="5">
        <v>0.16098795034245039</v>
      </c>
      <c r="AA32">
        <v>12.973476858378129</v>
      </c>
      <c r="AB32">
        <v>463.00695155868198</v>
      </c>
      <c r="AC32">
        <v>107.837947659414</v>
      </c>
      <c r="AD32" s="5">
        <v>0.18890936541103021</v>
      </c>
      <c r="AE32">
        <v>74.993027463343367</v>
      </c>
      <c r="AF32">
        <v>17.466463825625851</v>
      </c>
      <c r="AG32">
        <v>2.489324735083335</v>
      </c>
      <c r="AH32" t="str">
        <f t="shared" si="1"/>
        <v>True</v>
      </c>
      <c r="AI32">
        <v>8</v>
      </c>
    </row>
    <row r="33" spans="1:35" x14ac:dyDescent="0.35">
      <c r="A33" t="s">
        <v>72</v>
      </c>
      <c r="B33" t="s">
        <v>62</v>
      </c>
      <c r="C33" t="s">
        <v>63</v>
      </c>
      <c r="D33" t="s">
        <v>52</v>
      </c>
      <c r="E33" t="s">
        <v>52</v>
      </c>
      <c r="F33" t="s">
        <v>52</v>
      </c>
      <c r="G33" t="s">
        <v>37</v>
      </c>
      <c r="H33" t="s">
        <v>35</v>
      </c>
      <c r="I33" t="s">
        <v>37</v>
      </c>
      <c r="J33" t="s">
        <v>35</v>
      </c>
      <c r="K33" t="s">
        <v>35</v>
      </c>
      <c r="L33" t="s">
        <v>35</v>
      </c>
      <c r="M33" t="s">
        <v>35</v>
      </c>
      <c r="N33" t="s">
        <v>37</v>
      </c>
      <c r="O33" t="str">
        <f t="shared" si="2"/>
        <v>True</v>
      </c>
      <c r="P33" s="3">
        <v>714709.43</v>
      </c>
      <c r="Q33" s="3">
        <v>23147.675769171929</v>
      </c>
      <c r="R33" s="3">
        <v>6349.7501449010042</v>
      </c>
      <c r="S33" s="3">
        <v>33372.683391284772</v>
      </c>
      <c r="T33" s="3">
        <v>12151.67390050004</v>
      </c>
      <c r="U33">
        <v>0.18859551466257549</v>
      </c>
      <c r="V33" s="3">
        <v>-344680.94909197913</v>
      </c>
      <c r="W33">
        <v>38.629968603830662</v>
      </c>
      <c r="X33">
        <v>73.975846168352248</v>
      </c>
      <c r="Y33">
        <v>21.491490869678831</v>
      </c>
      <c r="Z33" s="5">
        <v>0.2251187844604623</v>
      </c>
      <c r="AA33">
        <v>11.981834494388121</v>
      </c>
      <c r="AB33">
        <v>436.05390643304997</v>
      </c>
      <c r="AC33">
        <v>134.790992785046</v>
      </c>
      <c r="AD33" s="5">
        <v>0.2361254221062033</v>
      </c>
      <c r="AE33">
        <v>70.627454880636535</v>
      </c>
      <c r="AF33">
        <v>21.83203640833268</v>
      </c>
      <c r="AG33">
        <v>3.4809670990733408</v>
      </c>
      <c r="AH33" t="str">
        <f t="shared" si="1"/>
        <v>True</v>
      </c>
      <c r="AI33">
        <v>8</v>
      </c>
    </row>
    <row r="34" spans="1:35" x14ac:dyDescent="0.35">
      <c r="A34" t="s">
        <v>73</v>
      </c>
      <c r="B34" t="s">
        <v>62</v>
      </c>
      <c r="C34" t="s">
        <v>63</v>
      </c>
      <c r="D34" t="s">
        <v>52</v>
      </c>
      <c r="E34" t="s">
        <v>52</v>
      </c>
      <c r="F34" t="s">
        <v>52</v>
      </c>
      <c r="G34" t="s">
        <v>37</v>
      </c>
      <c r="H34" t="s">
        <v>35</v>
      </c>
      <c r="I34" t="s">
        <v>37</v>
      </c>
      <c r="J34" t="s">
        <v>35</v>
      </c>
      <c r="K34" t="s">
        <v>35</v>
      </c>
      <c r="L34" t="s">
        <v>35</v>
      </c>
      <c r="M34" t="s">
        <v>37</v>
      </c>
      <c r="N34" t="s">
        <v>37</v>
      </c>
      <c r="O34" t="str">
        <f t="shared" si="2"/>
        <v>True</v>
      </c>
      <c r="P34" s="3">
        <v>1101797.03</v>
      </c>
      <c r="Q34" s="3">
        <v>20647.83131458826</v>
      </c>
      <c r="R34" s="3">
        <v>8849.594599484677</v>
      </c>
      <c r="S34" s="3">
        <v>30073.470038458549</v>
      </c>
      <c r="T34" s="3">
        <v>15450.887253326269</v>
      </c>
      <c r="U34">
        <v>0.16367726118890161</v>
      </c>
      <c r="V34" s="3">
        <v>-615787.3929437811</v>
      </c>
      <c r="W34">
        <v>45.340542491035023</v>
      </c>
      <c r="X34">
        <v>66.108743137242598</v>
      </c>
      <c r="Y34">
        <v>29.358593900788481</v>
      </c>
      <c r="Z34" s="5">
        <v>0.30752501129357962</v>
      </c>
      <c r="AA34">
        <v>10.707603358801849</v>
      </c>
      <c r="AB34">
        <v>390.50577896163003</v>
      </c>
      <c r="AC34">
        <v>180.339120256466</v>
      </c>
      <c r="AD34" s="5">
        <v>0.31591614553004171</v>
      </c>
      <c r="AE34">
        <v>63.250045183289593</v>
      </c>
      <c r="AF34">
        <v>29.209446105679621</v>
      </c>
      <c r="AG34">
        <v>4.7551982346596144</v>
      </c>
      <c r="AH34" t="str">
        <f t="shared" si="1"/>
        <v>True</v>
      </c>
      <c r="AI34">
        <v>8</v>
      </c>
    </row>
    <row r="35" spans="1:35" x14ac:dyDescent="0.35">
      <c r="A35" t="s">
        <v>74</v>
      </c>
      <c r="B35" t="s">
        <v>75</v>
      </c>
      <c r="C35" t="s">
        <v>63</v>
      </c>
      <c r="D35" t="s">
        <v>39</v>
      </c>
      <c r="E35" t="s">
        <v>39</v>
      </c>
      <c r="F35" t="s">
        <v>39</v>
      </c>
      <c r="G35" t="s">
        <v>35</v>
      </c>
      <c r="H35" t="s">
        <v>35</v>
      </c>
      <c r="I35" t="s">
        <v>35</v>
      </c>
      <c r="J35" t="s">
        <v>35</v>
      </c>
      <c r="K35" t="s">
        <v>35</v>
      </c>
      <c r="L35" t="s">
        <v>35</v>
      </c>
      <c r="M35" t="s">
        <v>35</v>
      </c>
      <c r="N35" t="s">
        <v>35</v>
      </c>
      <c r="O35" t="str">
        <f t="shared" si="2"/>
        <v>False</v>
      </c>
      <c r="P35" s="3">
        <v>0</v>
      </c>
      <c r="Q35" s="3">
        <v>32711.340171976412</v>
      </c>
      <c r="R35" s="3">
        <v>0</v>
      </c>
      <c r="S35" s="3">
        <v>13426.371453456841</v>
      </c>
      <c r="T35" s="3">
        <v>0</v>
      </c>
      <c r="U35">
        <v>0</v>
      </c>
      <c r="V35" s="3">
        <v>0</v>
      </c>
      <c r="W35">
        <v>0</v>
      </c>
      <c r="X35">
        <v>91.045802060540979</v>
      </c>
      <c r="Y35">
        <v>0</v>
      </c>
      <c r="Z35" s="5">
        <v>0</v>
      </c>
      <c r="AA35">
        <v>20.767746820378871</v>
      </c>
      <c r="AB35">
        <v>445.40565174970072</v>
      </c>
      <c r="AC35">
        <v>5.6843418860808009E-14</v>
      </c>
      <c r="AD35" s="5">
        <v>1.2762168292545969E-16</v>
      </c>
      <c r="AE35">
        <v>101.59800450495</v>
      </c>
      <c r="AF35">
        <v>1.2966108316790149E-14</v>
      </c>
      <c r="AG35">
        <v>-3.5527136788005009E-15</v>
      </c>
      <c r="AH35" t="str">
        <f t="shared" si="1"/>
        <v>False</v>
      </c>
      <c r="AI35">
        <v>0</v>
      </c>
    </row>
    <row r="36" spans="1:35" x14ac:dyDescent="0.35">
      <c r="A36" t="s">
        <v>76</v>
      </c>
      <c r="B36" t="s">
        <v>75</v>
      </c>
      <c r="C36" t="s">
        <v>63</v>
      </c>
      <c r="D36" t="s">
        <v>77</v>
      </c>
      <c r="E36" t="s">
        <v>77</v>
      </c>
      <c r="F36" t="s">
        <v>77</v>
      </c>
      <c r="G36" t="s">
        <v>37</v>
      </c>
      <c r="H36" t="s">
        <v>35</v>
      </c>
      <c r="I36" t="s">
        <v>37</v>
      </c>
      <c r="J36" t="s">
        <v>35</v>
      </c>
      <c r="K36" t="s">
        <v>35</v>
      </c>
      <c r="L36" t="s">
        <v>37</v>
      </c>
      <c r="M36" t="s">
        <v>37</v>
      </c>
      <c r="N36" t="s">
        <v>35</v>
      </c>
      <c r="O36" t="str">
        <f t="shared" si="2"/>
        <v>True</v>
      </c>
      <c r="P36" s="3">
        <v>1671724.9125000001</v>
      </c>
      <c r="Q36" s="3">
        <v>7214.8689269704237</v>
      </c>
      <c r="R36" s="3">
        <v>25496.471245005989</v>
      </c>
      <c r="S36" s="3">
        <v>10763.474973981291</v>
      </c>
      <c r="T36" s="3">
        <v>2662.8964794755511</v>
      </c>
      <c r="U36">
        <v>0.18403850783636591</v>
      </c>
      <c r="V36" s="3">
        <v>-1108537.5580103691</v>
      </c>
      <c r="W36">
        <v>59.366564223195091</v>
      </c>
      <c r="X36">
        <v>23.202069883699892</v>
      </c>
      <c r="Y36">
        <v>67.843732176841087</v>
      </c>
      <c r="Z36" s="5">
        <v>0.74516046474859265</v>
      </c>
      <c r="AA36">
        <v>5.2924429479242452</v>
      </c>
      <c r="AB36">
        <v>137.74389334032139</v>
      </c>
      <c r="AC36">
        <v>307.66175840937927</v>
      </c>
      <c r="AD36" s="5">
        <v>0.69074507070303703</v>
      </c>
      <c r="AE36">
        <v>31.419683699890829</v>
      </c>
      <c r="AF36">
        <v>70.178320805059158</v>
      </c>
      <c r="AG36">
        <v>15.47530387245463</v>
      </c>
      <c r="AH36" t="str">
        <f t="shared" si="1"/>
        <v>True</v>
      </c>
      <c r="AI36">
        <v>11</v>
      </c>
    </row>
    <row r="37" spans="1:35" x14ac:dyDescent="0.35">
      <c r="A37" t="s">
        <v>78</v>
      </c>
      <c r="B37" t="s">
        <v>75</v>
      </c>
      <c r="C37" t="s">
        <v>63</v>
      </c>
      <c r="D37" t="s">
        <v>52</v>
      </c>
      <c r="E37" t="s">
        <v>52</v>
      </c>
      <c r="F37" t="s">
        <v>52</v>
      </c>
      <c r="G37" t="s">
        <v>37</v>
      </c>
      <c r="H37" t="s">
        <v>35</v>
      </c>
      <c r="I37" t="s">
        <v>35</v>
      </c>
      <c r="J37" t="s">
        <v>35</v>
      </c>
      <c r="K37" t="s">
        <v>35</v>
      </c>
      <c r="L37" t="s">
        <v>35</v>
      </c>
      <c r="M37" t="s">
        <v>35</v>
      </c>
      <c r="N37" t="s">
        <v>35</v>
      </c>
      <c r="O37" t="str">
        <f t="shared" si="2"/>
        <v>False</v>
      </c>
      <c r="P37" s="3">
        <v>103932.1125</v>
      </c>
      <c r="Q37" s="3">
        <v>20556.271819938171</v>
      </c>
      <c r="R37" s="3">
        <v>12155.068352038241</v>
      </c>
      <c r="S37" s="3">
        <v>12158.666100377341</v>
      </c>
      <c r="T37" s="3">
        <v>1267.705353079501</v>
      </c>
      <c r="U37">
        <v>1.411153419066125</v>
      </c>
      <c r="V37" s="3">
        <v>164523.36160235491</v>
      </c>
      <c r="W37">
        <v>7.7429683896386843</v>
      </c>
      <c r="X37">
        <v>58.703015339723613</v>
      </c>
      <c r="Y37">
        <v>32.342786720817372</v>
      </c>
      <c r="Z37" s="5">
        <v>0.35523644131676718</v>
      </c>
      <c r="AA37">
        <v>13.390286345739881</v>
      </c>
      <c r="AB37">
        <v>298.74149584456052</v>
      </c>
      <c r="AC37">
        <v>146.66415590514021</v>
      </c>
      <c r="AD37" s="5">
        <v>0.32928220674568198</v>
      </c>
      <c r="AE37">
        <v>68.143589380602307</v>
      </c>
      <c r="AF37">
        <v>33.454415124347683</v>
      </c>
      <c r="AG37">
        <v>7.3774604746389958</v>
      </c>
      <c r="AH37" t="str">
        <f t="shared" si="1"/>
        <v>True</v>
      </c>
      <c r="AI37">
        <v>7</v>
      </c>
    </row>
    <row r="38" spans="1:35" x14ac:dyDescent="0.35">
      <c r="A38" t="s">
        <v>79</v>
      </c>
      <c r="B38" t="s">
        <v>75</v>
      </c>
      <c r="C38" t="s">
        <v>63</v>
      </c>
      <c r="D38" t="s">
        <v>52</v>
      </c>
      <c r="E38" t="s">
        <v>39</v>
      </c>
      <c r="F38" t="s">
        <v>39</v>
      </c>
      <c r="G38" t="s">
        <v>35</v>
      </c>
      <c r="H38" t="s">
        <v>35</v>
      </c>
      <c r="I38" t="s">
        <v>37</v>
      </c>
      <c r="J38" t="s">
        <v>35</v>
      </c>
      <c r="K38" t="s">
        <v>35</v>
      </c>
      <c r="L38" t="s">
        <v>35</v>
      </c>
      <c r="M38" t="s">
        <v>35</v>
      </c>
      <c r="N38" t="s">
        <v>35</v>
      </c>
      <c r="O38" t="str">
        <f t="shared" si="2"/>
        <v>False</v>
      </c>
      <c r="P38" s="3">
        <v>508112.54999999987</v>
      </c>
      <c r="Q38" s="3">
        <v>28713.042234877372</v>
      </c>
      <c r="R38" s="3">
        <v>3998.2979370990411</v>
      </c>
      <c r="S38" s="3">
        <v>13008.693034862439</v>
      </c>
      <c r="T38" s="3">
        <v>417.67841859439761</v>
      </c>
      <c r="U38">
        <v>9.4953883894652896E-2</v>
      </c>
      <c r="V38" s="3">
        <v>-419793.02288613108</v>
      </c>
      <c r="W38">
        <v>115.06233482090531</v>
      </c>
      <c r="X38">
        <v>80.40666848332495</v>
      </c>
      <c r="Y38">
        <v>10.639133577216031</v>
      </c>
      <c r="Z38" s="5">
        <v>0.1168547405419256</v>
      </c>
      <c r="AA38">
        <v>18.3409371540431</v>
      </c>
      <c r="AB38">
        <v>397.1583916715847</v>
      </c>
      <c r="AC38">
        <v>48.247260078116028</v>
      </c>
      <c r="AD38" s="5">
        <v>0.108322065264742</v>
      </c>
      <c r="AE38">
        <v>90.592698830197236</v>
      </c>
      <c r="AF38">
        <v>11.005305674752741</v>
      </c>
      <c r="AG38">
        <v>2.426809666335771</v>
      </c>
      <c r="AH38" t="str">
        <f t="shared" si="1"/>
        <v>True</v>
      </c>
      <c r="AI38">
        <v>3</v>
      </c>
    </row>
    <row r="39" spans="1:35" x14ac:dyDescent="0.35">
      <c r="A39" t="s">
        <v>80</v>
      </c>
      <c r="B39" t="s">
        <v>75</v>
      </c>
      <c r="C39" t="s">
        <v>63</v>
      </c>
      <c r="D39" t="s">
        <v>52</v>
      </c>
      <c r="E39" t="s">
        <v>39</v>
      </c>
      <c r="F39" t="s">
        <v>39</v>
      </c>
      <c r="G39" t="s">
        <v>35</v>
      </c>
      <c r="H39" t="s">
        <v>35</v>
      </c>
      <c r="I39" t="s">
        <v>35</v>
      </c>
      <c r="J39" t="s">
        <v>35</v>
      </c>
      <c r="K39" t="s">
        <v>35</v>
      </c>
      <c r="L39" t="s">
        <v>35</v>
      </c>
      <c r="M39" t="s">
        <v>37</v>
      </c>
      <c r="N39" t="s">
        <v>35</v>
      </c>
      <c r="O39" t="str">
        <f t="shared" si="2"/>
        <v>False</v>
      </c>
      <c r="P39" s="3">
        <v>398750</v>
      </c>
      <c r="Q39" s="3">
        <v>26930.92561623095</v>
      </c>
      <c r="R39" s="3">
        <v>5780.414555745464</v>
      </c>
      <c r="S39" s="3">
        <v>14597.20160259469</v>
      </c>
      <c r="T39" s="3">
        <v>-1170.830149137847</v>
      </c>
      <c r="U39">
        <v>0.1523919045368671</v>
      </c>
      <c r="V39" s="3">
        <v>-306558.31186784769</v>
      </c>
      <c r="W39">
        <v>86.504544624112128</v>
      </c>
      <c r="X39">
        <v>76.374476751392379</v>
      </c>
      <c r="Y39">
        <v>14.6713253091486</v>
      </c>
      <c r="Z39" s="5">
        <v>0.16114224903409491</v>
      </c>
      <c r="AA39">
        <v>17.421185390372351</v>
      </c>
      <c r="AB39">
        <v>384.63937981562498</v>
      </c>
      <c r="AC39">
        <v>60.766271934075753</v>
      </c>
      <c r="AD39" s="5">
        <v>0.13642905449305759</v>
      </c>
      <c r="AE39">
        <v>87.737084811958255</v>
      </c>
      <c r="AF39">
        <v>13.860919692991731</v>
      </c>
      <c r="AG39">
        <v>3.3465614300065241</v>
      </c>
      <c r="AH39" t="str">
        <f t="shared" si="1"/>
        <v>False</v>
      </c>
      <c r="AI39">
        <v>0</v>
      </c>
    </row>
    <row r="40" spans="1:35" x14ac:dyDescent="0.35">
      <c r="A40" t="s">
        <v>81</v>
      </c>
      <c r="B40" t="s">
        <v>75</v>
      </c>
      <c r="C40" t="s">
        <v>63</v>
      </c>
      <c r="D40" t="s">
        <v>52</v>
      </c>
      <c r="E40" t="s">
        <v>39</v>
      </c>
      <c r="F40" t="s">
        <v>39</v>
      </c>
      <c r="G40" t="s">
        <v>35</v>
      </c>
      <c r="H40" t="s">
        <v>35</v>
      </c>
      <c r="I40" t="s">
        <v>35</v>
      </c>
      <c r="J40" t="s">
        <v>35</v>
      </c>
      <c r="K40" t="s">
        <v>35</v>
      </c>
      <c r="L40" t="s">
        <v>37</v>
      </c>
      <c r="M40" t="s">
        <v>35</v>
      </c>
      <c r="N40" t="s">
        <v>35</v>
      </c>
      <c r="O40" t="str">
        <f t="shared" si="2"/>
        <v>False</v>
      </c>
      <c r="P40" s="3">
        <v>660930.25</v>
      </c>
      <c r="Q40" s="3">
        <v>26633.80112490286</v>
      </c>
      <c r="R40" s="3">
        <v>6077.5390470735447</v>
      </c>
      <c r="S40" s="3">
        <v>12791.58874464041</v>
      </c>
      <c r="T40" s="3">
        <v>634.7827088164255</v>
      </c>
      <c r="U40">
        <v>0.1109600342533396</v>
      </c>
      <c r="V40" s="3">
        <v>-526683.81488220056</v>
      </c>
      <c r="W40">
        <v>98.465221727495816</v>
      </c>
      <c r="X40">
        <v>74.874023929296683</v>
      </c>
      <c r="Y40">
        <v>16.171778131244299</v>
      </c>
      <c r="Z40" s="5">
        <v>0.17762244678223449</v>
      </c>
      <c r="AA40">
        <v>17.078928815989212</v>
      </c>
      <c r="AB40">
        <v>372.06880857063243</v>
      </c>
      <c r="AC40">
        <v>73.336843179068296</v>
      </c>
      <c r="AD40" s="5">
        <v>0.16465180199437729</v>
      </c>
      <c r="AE40">
        <v>84.869709984177106</v>
      </c>
      <c r="AF40">
        <v>16.728294520772881</v>
      </c>
      <c r="AG40">
        <v>3.6888180043896628</v>
      </c>
      <c r="AH40" t="str">
        <f t="shared" si="1"/>
        <v>False</v>
      </c>
      <c r="AI40">
        <v>11</v>
      </c>
    </row>
    <row r="41" spans="1:35" x14ac:dyDescent="0.35">
      <c r="A41" t="s">
        <v>82</v>
      </c>
      <c r="B41" t="s">
        <v>75</v>
      </c>
      <c r="C41" t="s">
        <v>63</v>
      </c>
      <c r="D41" t="s">
        <v>52</v>
      </c>
      <c r="E41" t="s">
        <v>52</v>
      </c>
      <c r="F41" t="s">
        <v>52</v>
      </c>
      <c r="G41" t="s">
        <v>37</v>
      </c>
      <c r="H41" t="s">
        <v>35</v>
      </c>
      <c r="I41" t="s">
        <v>35</v>
      </c>
      <c r="J41" t="s">
        <v>35</v>
      </c>
      <c r="K41" t="s">
        <v>35</v>
      </c>
      <c r="L41" t="s">
        <v>37</v>
      </c>
      <c r="M41" t="s">
        <v>35</v>
      </c>
      <c r="N41" t="s">
        <v>35</v>
      </c>
      <c r="O41" t="str">
        <f t="shared" si="2"/>
        <v>True</v>
      </c>
      <c r="P41" s="3">
        <v>764862.36250000005</v>
      </c>
      <c r="Q41" s="3">
        <v>15049.79228778982</v>
      </c>
      <c r="R41" s="3">
        <v>17661.547884186592</v>
      </c>
      <c r="S41" s="3">
        <v>11584.12041387128</v>
      </c>
      <c r="T41" s="3">
        <v>1842.2510395855641</v>
      </c>
      <c r="U41">
        <v>0.27862151038028782</v>
      </c>
      <c r="V41" s="3">
        <v>-374786.38402455702</v>
      </c>
      <c r="W41">
        <v>39.21607095568185</v>
      </c>
      <c r="X41">
        <v>44.051011143837293</v>
      </c>
      <c r="Y41">
        <v>46.994790916703693</v>
      </c>
      <c r="Z41" s="5">
        <v>0.51616647723586928</v>
      </c>
      <c r="AA41">
        <v>10.04813210397749</v>
      </c>
      <c r="AB41">
        <v>232.2985450769155</v>
      </c>
      <c r="AC41">
        <v>213.10710667278519</v>
      </c>
      <c r="AD41" s="5">
        <v>0.47845622487193418</v>
      </c>
      <c r="AE41">
        <v>52.987806814989852</v>
      </c>
      <c r="AF41">
        <v>48.610197689960131</v>
      </c>
      <c r="AG41">
        <v>10.71961471640139</v>
      </c>
      <c r="AH41" t="str">
        <f t="shared" si="1"/>
        <v>True</v>
      </c>
      <c r="AI41">
        <v>11</v>
      </c>
    </row>
    <row r="42" spans="1:35" x14ac:dyDescent="0.35">
      <c r="A42" t="s">
        <v>83</v>
      </c>
      <c r="B42" t="s">
        <v>75</v>
      </c>
      <c r="C42" t="s">
        <v>63</v>
      </c>
      <c r="D42" t="s">
        <v>52</v>
      </c>
      <c r="E42" t="s">
        <v>52</v>
      </c>
      <c r="F42" t="s">
        <v>52</v>
      </c>
      <c r="G42" t="s">
        <v>37</v>
      </c>
      <c r="H42" t="s">
        <v>35</v>
      </c>
      <c r="I42" t="s">
        <v>37</v>
      </c>
      <c r="J42" t="s">
        <v>35</v>
      </c>
      <c r="K42" t="s">
        <v>35</v>
      </c>
      <c r="L42" t="s">
        <v>35</v>
      </c>
      <c r="M42" t="s">
        <v>35</v>
      </c>
      <c r="N42" t="s">
        <v>35</v>
      </c>
      <c r="O42" t="str">
        <f t="shared" si="2"/>
        <v>True</v>
      </c>
      <c r="P42" s="3">
        <v>612044.66249999986</v>
      </c>
      <c r="Q42" s="3">
        <v>16993.701371530271</v>
      </c>
      <c r="R42" s="3">
        <v>15717.638800446141</v>
      </c>
      <c r="S42" s="3">
        <v>11787.033013603161</v>
      </c>
      <c r="T42" s="3">
        <v>1639.338439853678</v>
      </c>
      <c r="U42">
        <v>0.30986438600938632</v>
      </c>
      <c r="V42" s="3">
        <v>-264905.11769400362</v>
      </c>
      <c r="W42">
        <v>35.262168868836277</v>
      </c>
      <c r="X42">
        <v>49.223526847270882</v>
      </c>
      <c r="Y42">
        <v>41.822275213270103</v>
      </c>
      <c r="Z42" s="5">
        <v>0.45935424002811631</v>
      </c>
      <c r="AA42">
        <v>11.22799426260741</v>
      </c>
      <c r="AB42">
        <v>255.75480819381619</v>
      </c>
      <c r="AC42">
        <v>189.65084355588451</v>
      </c>
      <c r="AD42" s="5">
        <v>0.4257935273404666</v>
      </c>
      <c r="AE42">
        <v>58.338231796034712</v>
      </c>
      <c r="AF42">
        <v>43.259772708915257</v>
      </c>
      <c r="AG42">
        <v>9.5397525577714646</v>
      </c>
      <c r="AH42" t="str">
        <f t="shared" si="1"/>
        <v>True</v>
      </c>
      <c r="AI42">
        <v>7</v>
      </c>
    </row>
    <row r="43" spans="1:35" x14ac:dyDescent="0.35">
      <c r="A43" t="s">
        <v>84</v>
      </c>
      <c r="B43" t="s">
        <v>75</v>
      </c>
      <c r="C43" t="s">
        <v>63</v>
      </c>
      <c r="D43" t="s">
        <v>52</v>
      </c>
      <c r="E43" t="s">
        <v>52</v>
      </c>
      <c r="F43" t="s">
        <v>52</v>
      </c>
      <c r="G43" t="s">
        <v>37</v>
      </c>
      <c r="H43" t="s">
        <v>35</v>
      </c>
      <c r="I43" t="s">
        <v>37</v>
      </c>
      <c r="J43" t="s">
        <v>35</v>
      </c>
      <c r="K43" t="s">
        <v>35</v>
      </c>
      <c r="L43" t="s">
        <v>35</v>
      </c>
      <c r="M43" t="s">
        <v>37</v>
      </c>
      <c r="N43" t="s">
        <v>35</v>
      </c>
      <c r="O43" t="str">
        <f t="shared" si="2"/>
        <v>True</v>
      </c>
      <c r="P43" s="3">
        <v>1010794.6625</v>
      </c>
      <c r="Q43" s="3">
        <v>12019.983035418019</v>
      </c>
      <c r="R43" s="3">
        <v>20691.357136558388</v>
      </c>
      <c r="S43" s="3">
        <v>11264.65915923727</v>
      </c>
      <c r="T43" s="3">
        <v>2161.712294219566</v>
      </c>
      <c r="U43">
        <v>0.24701616882734501</v>
      </c>
      <c r="V43" s="3">
        <v>-553733.27388444089</v>
      </c>
      <c r="W43">
        <v>44.230148845506349</v>
      </c>
      <c r="X43">
        <v>35.987762233440968</v>
      </c>
      <c r="Y43">
        <v>55.058039827100011</v>
      </c>
      <c r="Z43" s="5">
        <v>0.6047290328717092</v>
      </c>
      <c r="AA43">
        <v>8.2088873707666448</v>
      </c>
      <c r="AB43">
        <v>195.72302674782151</v>
      </c>
      <c r="AC43">
        <v>249.68262500187919</v>
      </c>
      <c r="AD43" s="5">
        <v>0.56057354463519549</v>
      </c>
      <c r="AE43">
        <v>44.64485099174761</v>
      </c>
      <c r="AF43">
        <v>56.953153513202373</v>
      </c>
      <c r="AG43">
        <v>12.55885944961223</v>
      </c>
      <c r="AH43" t="str">
        <f t="shared" si="1"/>
        <v>True</v>
      </c>
      <c r="AI43">
        <v>7</v>
      </c>
    </row>
    <row r="44" spans="1:35" x14ac:dyDescent="0.35">
      <c r="A44" t="s">
        <v>85</v>
      </c>
      <c r="B44" t="s">
        <v>75</v>
      </c>
      <c r="C44" t="s">
        <v>63</v>
      </c>
      <c r="D44" t="s">
        <v>52</v>
      </c>
      <c r="E44" t="s">
        <v>52</v>
      </c>
      <c r="F44" t="s">
        <v>52</v>
      </c>
      <c r="G44" t="s">
        <v>37</v>
      </c>
      <c r="H44" t="s">
        <v>35</v>
      </c>
      <c r="I44" t="s">
        <v>37</v>
      </c>
      <c r="J44" t="s">
        <v>35</v>
      </c>
      <c r="K44" t="s">
        <v>35</v>
      </c>
      <c r="L44" t="s">
        <v>37</v>
      </c>
      <c r="M44" t="s">
        <v>35</v>
      </c>
      <c r="N44" t="s">
        <v>35</v>
      </c>
      <c r="O44" t="str">
        <f t="shared" si="2"/>
        <v>True</v>
      </c>
      <c r="P44" s="3">
        <v>1272974.9125000001</v>
      </c>
      <c r="Q44" s="3">
        <v>11785.942276764299</v>
      </c>
      <c r="R44" s="3">
        <v>20925.397895212111</v>
      </c>
      <c r="S44" s="3">
        <v>11243.34615427553</v>
      </c>
      <c r="T44" s="3">
        <v>2183.0252991813099</v>
      </c>
      <c r="U44">
        <v>0.1983471181589084</v>
      </c>
      <c r="V44" s="3">
        <v>-810806.44861213164</v>
      </c>
      <c r="W44">
        <v>55.087052101800253</v>
      </c>
      <c r="X44">
        <v>35.366253851412473</v>
      </c>
      <c r="Y44">
        <v>55.679548209128512</v>
      </c>
      <c r="Z44" s="5">
        <v>0.61155535948932982</v>
      </c>
      <c r="AA44">
        <v>8.0671199478586857</v>
      </c>
      <c r="AB44">
        <v>192.91474636673709</v>
      </c>
      <c r="AC44">
        <v>252.4909053829636</v>
      </c>
      <c r="AD44" s="5">
        <v>0.56687853957644185</v>
      </c>
      <c r="AE44">
        <v>44.004276087303182</v>
      </c>
      <c r="AF44">
        <v>57.593728417646808</v>
      </c>
      <c r="AG44">
        <v>12.700626872520189</v>
      </c>
      <c r="AH44" t="str">
        <f t="shared" si="1"/>
        <v>True</v>
      </c>
      <c r="AI44">
        <v>11</v>
      </c>
    </row>
    <row r="45" spans="1:35" x14ac:dyDescent="0.35">
      <c r="A45" t="s">
        <v>86</v>
      </c>
      <c r="B45" t="s">
        <v>87</v>
      </c>
      <c r="C45" t="s">
        <v>63</v>
      </c>
      <c r="D45" t="s">
        <v>39</v>
      </c>
      <c r="E45" t="s">
        <v>39</v>
      </c>
      <c r="F45" t="s">
        <v>39</v>
      </c>
      <c r="G45" t="s">
        <v>35</v>
      </c>
      <c r="H45" t="s">
        <v>35</v>
      </c>
      <c r="I45" t="s">
        <v>35</v>
      </c>
      <c r="J45" t="s">
        <v>35</v>
      </c>
      <c r="K45" t="s">
        <v>35</v>
      </c>
      <c r="L45" t="s">
        <v>35</v>
      </c>
      <c r="M45" t="s">
        <v>35</v>
      </c>
      <c r="N45" t="s">
        <v>35</v>
      </c>
      <c r="O45" t="str">
        <f t="shared" si="2"/>
        <v>False</v>
      </c>
      <c r="P45" s="3">
        <v>0</v>
      </c>
      <c r="Q45" s="3">
        <v>14336.320500679591</v>
      </c>
      <c r="R45" s="3">
        <v>0</v>
      </c>
      <c r="S45" s="3">
        <v>9304.7290334775753</v>
      </c>
      <c r="T45" s="3">
        <v>0</v>
      </c>
      <c r="U45">
        <v>0</v>
      </c>
      <c r="V45" s="3">
        <v>0</v>
      </c>
      <c r="W45">
        <v>0</v>
      </c>
      <c r="X45">
        <v>41.270579206032863</v>
      </c>
      <c r="Y45">
        <v>0</v>
      </c>
      <c r="Z45" s="5">
        <v>0</v>
      </c>
      <c r="AA45">
        <v>19.746688615326729</v>
      </c>
      <c r="AB45">
        <v>212.52527274067191</v>
      </c>
      <c r="AC45">
        <v>2.8421709430404007E-14</v>
      </c>
      <c r="AD45" s="5">
        <v>1.3373331587290711E-16</v>
      </c>
      <c r="AE45">
        <v>101.68673336874249</v>
      </c>
      <c r="AF45">
        <v>1.3598904033686129E-14</v>
      </c>
      <c r="AG45">
        <v>0</v>
      </c>
      <c r="AH45" t="str">
        <f t="shared" si="1"/>
        <v>False</v>
      </c>
      <c r="AI45">
        <v>0</v>
      </c>
    </row>
    <row r="46" spans="1:35" x14ac:dyDescent="0.35">
      <c r="A46" t="s">
        <v>88</v>
      </c>
      <c r="B46" t="s">
        <v>87</v>
      </c>
      <c r="C46" t="s">
        <v>63</v>
      </c>
      <c r="D46" t="s">
        <v>39</v>
      </c>
      <c r="E46" t="s">
        <v>39</v>
      </c>
      <c r="F46" t="s">
        <v>39</v>
      </c>
      <c r="G46" t="s">
        <v>35</v>
      </c>
      <c r="H46" t="s">
        <v>35</v>
      </c>
      <c r="I46" t="s">
        <v>35</v>
      </c>
      <c r="J46" t="s">
        <v>35</v>
      </c>
      <c r="K46" t="s">
        <v>37</v>
      </c>
      <c r="L46" t="s">
        <v>35</v>
      </c>
      <c r="M46" t="s">
        <v>35</v>
      </c>
      <c r="N46" t="s">
        <v>35</v>
      </c>
      <c r="O46" t="str">
        <f t="shared" si="2"/>
        <v>False</v>
      </c>
      <c r="P46" s="3">
        <v>94290.4</v>
      </c>
      <c r="Q46" s="3">
        <v>12047.82577953389</v>
      </c>
      <c r="R46" s="3">
        <v>2288.4947211457061</v>
      </c>
      <c r="S46" s="3">
        <v>9095.8311690995761</v>
      </c>
      <c r="T46" s="3">
        <v>208.89786437799879</v>
      </c>
      <c r="U46">
        <v>0.2912534410875065</v>
      </c>
      <c r="V46" s="3">
        <v>-44342.548289525919</v>
      </c>
      <c r="W46">
        <v>37.755537734259462</v>
      </c>
      <c r="X46">
        <v>35.193154804713707</v>
      </c>
      <c r="Y46">
        <v>6.0774244013191563</v>
      </c>
      <c r="Z46" s="5">
        <v>0.1472580350999961</v>
      </c>
      <c r="AA46">
        <v>16.838830050102249</v>
      </c>
      <c r="AB46">
        <v>185.06286927915451</v>
      </c>
      <c r="AC46">
        <v>27.462403461517429</v>
      </c>
      <c r="AD46" s="5">
        <v>0.1292194716767999</v>
      </c>
      <c r="AE46">
        <v>88.546827406294014</v>
      </c>
      <c r="AF46">
        <v>13.13990596244853</v>
      </c>
      <c r="AG46">
        <v>2.9078585652244802</v>
      </c>
      <c r="AH46" t="str">
        <f t="shared" si="1"/>
        <v>False</v>
      </c>
      <c r="AI46">
        <v>3</v>
      </c>
    </row>
    <row r="47" spans="1:35" x14ac:dyDescent="0.35">
      <c r="A47" t="s">
        <v>89</v>
      </c>
      <c r="B47" t="s">
        <v>87</v>
      </c>
      <c r="C47" t="s">
        <v>63</v>
      </c>
      <c r="D47" t="s">
        <v>52</v>
      </c>
      <c r="E47" t="s">
        <v>77</v>
      </c>
      <c r="F47" t="s">
        <v>52</v>
      </c>
      <c r="G47" t="s">
        <v>37</v>
      </c>
      <c r="H47" t="s">
        <v>35</v>
      </c>
      <c r="I47" t="s">
        <v>37</v>
      </c>
      <c r="J47" t="s">
        <v>35</v>
      </c>
      <c r="K47" t="s">
        <v>37</v>
      </c>
      <c r="L47" t="s">
        <v>35</v>
      </c>
      <c r="M47" t="s">
        <v>37</v>
      </c>
      <c r="N47" t="s">
        <v>37</v>
      </c>
      <c r="O47" t="str">
        <f t="shared" si="2"/>
        <v>True</v>
      </c>
      <c r="P47" s="3">
        <v>920754.9</v>
      </c>
      <c r="Q47" s="3">
        <v>1628.4654579756441</v>
      </c>
      <c r="R47" s="3">
        <v>12707.85504270395</v>
      </c>
      <c r="S47" s="3">
        <v>8151.5155995659434</v>
      </c>
      <c r="T47" s="3">
        <v>1153.2134339116319</v>
      </c>
      <c r="U47">
        <v>0.1655842533603897</v>
      </c>
      <c r="V47" s="3">
        <v>-643533.53046768834</v>
      </c>
      <c r="W47">
        <v>66.427411534209384</v>
      </c>
      <c r="X47">
        <v>7.5257690292629906</v>
      </c>
      <c r="Y47">
        <v>33.744810176769867</v>
      </c>
      <c r="Z47" s="5">
        <v>0.81764808795891852</v>
      </c>
      <c r="AA47">
        <v>3.600846425484685</v>
      </c>
      <c r="AB47">
        <v>60.062760096251608</v>
      </c>
      <c r="AC47">
        <v>152.46251264442029</v>
      </c>
      <c r="AD47" s="5">
        <v>0.71738532871080463</v>
      </c>
      <c r="AE47">
        <v>28.738162725479238</v>
      </c>
      <c r="AF47">
        <v>72.948570643263309</v>
      </c>
      <c r="AG47">
        <v>16.145842189842039</v>
      </c>
      <c r="AH47" t="str">
        <f t="shared" si="1"/>
        <v>True</v>
      </c>
      <c r="AI47">
        <v>7</v>
      </c>
    </row>
    <row r="48" spans="1:35" x14ac:dyDescent="0.35">
      <c r="A48" t="s">
        <v>90</v>
      </c>
      <c r="B48" t="s">
        <v>87</v>
      </c>
      <c r="C48" t="s">
        <v>63</v>
      </c>
      <c r="D48" t="s">
        <v>39</v>
      </c>
      <c r="E48" t="s">
        <v>52</v>
      </c>
      <c r="F48" t="s">
        <v>39</v>
      </c>
      <c r="G48" t="s">
        <v>37</v>
      </c>
      <c r="H48" t="s">
        <v>35</v>
      </c>
      <c r="I48" t="s">
        <v>35</v>
      </c>
      <c r="J48" t="s">
        <v>35</v>
      </c>
      <c r="K48" t="s">
        <v>35</v>
      </c>
      <c r="L48" t="s">
        <v>35</v>
      </c>
      <c r="M48" t="s">
        <v>35</v>
      </c>
      <c r="N48" t="s">
        <v>35</v>
      </c>
      <c r="O48" t="str">
        <f t="shared" si="2"/>
        <v>False</v>
      </c>
      <c r="P48" s="3">
        <v>100120.6125</v>
      </c>
      <c r="Q48" s="3">
        <v>10985.51046297695</v>
      </c>
      <c r="R48" s="3">
        <v>3350.8100377026472</v>
      </c>
      <c r="S48" s="3">
        <v>8995.2935907340634</v>
      </c>
      <c r="T48" s="3">
        <v>309.4354427435124</v>
      </c>
      <c r="U48">
        <v>0.40180005380460709</v>
      </c>
      <c r="V48" s="3">
        <v>-26915.702891076831</v>
      </c>
      <c r="W48">
        <v>27.35352397397018</v>
      </c>
      <c r="X48">
        <v>32.370597822768381</v>
      </c>
      <c r="Y48">
        <v>8.8999813832644818</v>
      </c>
      <c r="Z48" s="5">
        <v>0.215649539078034</v>
      </c>
      <c r="AA48">
        <v>15.48832431711406</v>
      </c>
      <c r="AB48">
        <v>172.29680525122171</v>
      </c>
      <c r="AC48">
        <v>40.228467489450217</v>
      </c>
      <c r="AD48" s="5">
        <v>0.1892879231287373</v>
      </c>
      <c r="AE48">
        <v>82.438662799627608</v>
      </c>
      <c r="AF48">
        <v>19.24807056911494</v>
      </c>
      <c r="AG48">
        <v>4.2583642982126708</v>
      </c>
      <c r="AH48" t="str">
        <f t="shared" si="1"/>
        <v>True</v>
      </c>
      <c r="AI48">
        <v>7</v>
      </c>
    </row>
    <row r="49" spans="1:35" x14ac:dyDescent="0.35">
      <c r="A49" t="s">
        <v>91</v>
      </c>
      <c r="B49" t="s">
        <v>87</v>
      </c>
      <c r="C49" t="s">
        <v>63</v>
      </c>
      <c r="D49" t="s">
        <v>52</v>
      </c>
      <c r="E49" t="s">
        <v>52</v>
      </c>
      <c r="F49" t="s">
        <v>52</v>
      </c>
      <c r="G49" t="s">
        <v>35</v>
      </c>
      <c r="H49" t="s">
        <v>35</v>
      </c>
      <c r="I49" t="s">
        <v>37</v>
      </c>
      <c r="J49" t="s">
        <v>35</v>
      </c>
      <c r="K49" t="s">
        <v>35</v>
      </c>
      <c r="L49" t="s">
        <v>35</v>
      </c>
      <c r="M49" t="s">
        <v>35</v>
      </c>
      <c r="N49" t="s">
        <v>35</v>
      </c>
      <c r="O49" t="str">
        <f t="shared" si="2"/>
        <v>False</v>
      </c>
      <c r="P49" s="3">
        <v>489478.55</v>
      </c>
      <c r="Q49" s="3">
        <v>7996.6389311803523</v>
      </c>
      <c r="R49" s="3">
        <v>6339.6815694992429</v>
      </c>
      <c r="S49" s="3">
        <v>8719.6759308072178</v>
      </c>
      <c r="T49" s="3">
        <v>585.05310267035782</v>
      </c>
      <c r="U49">
        <v>0.1554912933090746</v>
      </c>
      <c r="V49" s="3">
        <v>-350983.85655660799</v>
      </c>
      <c r="W49">
        <v>70.685531384647348</v>
      </c>
      <c r="X49">
        <v>24.43210756371483</v>
      </c>
      <c r="Y49">
        <v>16.83847164231803</v>
      </c>
      <c r="Z49" s="5">
        <v>0.4080018251805056</v>
      </c>
      <c r="AA49">
        <v>11.69000361900231</v>
      </c>
      <c r="AB49">
        <v>136.41561995412141</v>
      </c>
      <c r="AC49">
        <v>76.109652786550527</v>
      </c>
      <c r="AD49" s="5">
        <v>0.35812048047302703</v>
      </c>
      <c r="AE49">
        <v>65.27063155699588</v>
      </c>
      <c r="AF49">
        <v>36.416101811746657</v>
      </c>
      <c r="AG49">
        <v>8.0566849963244174</v>
      </c>
      <c r="AH49" t="str">
        <f t="shared" si="1"/>
        <v>True</v>
      </c>
      <c r="AI49">
        <v>3</v>
      </c>
    </row>
    <row r="50" spans="1:35" x14ac:dyDescent="0.35">
      <c r="A50" t="s">
        <v>92</v>
      </c>
      <c r="B50" t="s">
        <v>87</v>
      </c>
      <c r="C50" t="s">
        <v>63</v>
      </c>
      <c r="D50" t="s">
        <v>39</v>
      </c>
      <c r="E50" t="s">
        <v>39</v>
      </c>
      <c r="F50" t="s">
        <v>39</v>
      </c>
      <c r="G50" t="s">
        <v>35</v>
      </c>
      <c r="H50" t="s">
        <v>35</v>
      </c>
      <c r="I50" t="s">
        <v>35</v>
      </c>
      <c r="J50" t="s">
        <v>35</v>
      </c>
      <c r="K50" t="s">
        <v>35</v>
      </c>
      <c r="L50" t="s">
        <v>35</v>
      </c>
      <c r="M50" t="s">
        <v>35</v>
      </c>
      <c r="N50" t="s">
        <v>37</v>
      </c>
      <c r="O50" t="str">
        <f t="shared" si="2"/>
        <v>False</v>
      </c>
      <c r="P50" s="3">
        <v>33329.300000000003</v>
      </c>
      <c r="Q50" s="3">
        <v>12759.549996794211</v>
      </c>
      <c r="R50" s="3">
        <v>1576.770503885389</v>
      </c>
      <c r="S50" s="3">
        <v>9304.729031204628</v>
      </c>
      <c r="T50" s="3">
        <v>2.272946453274471E-6</v>
      </c>
      <c r="U50">
        <v>0.54585023094573226</v>
      </c>
      <c r="V50" s="3">
        <v>-1793.8898768333061</v>
      </c>
      <c r="W50">
        <v>21.137698777232941</v>
      </c>
      <c r="X50">
        <v>37.140812222523223</v>
      </c>
      <c r="Y50">
        <v>4.1297669835096471</v>
      </c>
      <c r="Z50" s="5">
        <v>0.10006564150439561</v>
      </c>
      <c r="AA50">
        <v>17.770723551446519</v>
      </c>
      <c r="AB50">
        <v>194.33246663841231</v>
      </c>
      <c r="AC50">
        <v>18.192806102259599</v>
      </c>
      <c r="AD50" s="5">
        <v>8.5603024372818304E-2</v>
      </c>
      <c r="AE50">
        <v>92.982041453785797</v>
      </c>
      <c r="AF50">
        <v>8.7046919149567437</v>
      </c>
      <c r="AG50">
        <v>1.975965063880214</v>
      </c>
      <c r="AH50" t="str">
        <f t="shared" si="1"/>
        <v>False</v>
      </c>
      <c r="AI50">
        <v>0</v>
      </c>
    </row>
    <row r="51" spans="1:35" x14ac:dyDescent="0.35">
      <c r="A51" t="s">
        <v>93</v>
      </c>
      <c r="B51" t="s">
        <v>87</v>
      </c>
      <c r="C51" t="s">
        <v>63</v>
      </c>
      <c r="D51" t="s">
        <v>39</v>
      </c>
      <c r="E51" t="s">
        <v>39</v>
      </c>
      <c r="F51" t="s">
        <v>39</v>
      </c>
      <c r="G51" t="s">
        <v>35</v>
      </c>
      <c r="H51" t="s">
        <v>35</v>
      </c>
      <c r="I51" t="s">
        <v>35</v>
      </c>
      <c r="J51" t="s">
        <v>35</v>
      </c>
      <c r="K51" t="s">
        <v>35</v>
      </c>
      <c r="L51" t="s">
        <v>35</v>
      </c>
      <c r="M51" t="s">
        <v>37</v>
      </c>
      <c r="N51" t="s">
        <v>35</v>
      </c>
      <c r="O51" t="str">
        <f t="shared" si="2"/>
        <v>False</v>
      </c>
      <c r="P51" s="3">
        <v>226300</v>
      </c>
      <c r="Q51" s="3">
        <v>11490.528938115909</v>
      </c>
      <c r="R51" s="3">
        <v>2845.791562563687</v>
      </c>
      <c r="S51" s="3">
        <v>10227.12556863934</v>
      </c>
      <c r="T51" s="3">
        <v>-922.396535161766</v>
      </c>
      <c r="U51">
        <v>0.1244561706190513</v>
      </c>
      <c r="V51" s="3">
        <v>-187832.09945196161</v>
      </c>
      <c r="W51">
        <v>117.65653793213809</v>
      </c>
      <c r="X51">
        <v>34.186039669619241</v>
      </c>
      <c r="Y51">
        <v>7.0845395364136223</v>
      </c>
      <c r="Z51" s="5">
        <v>0.17166077318774381</v>
      </c>
      <c r="AA51">
        <v>16.356956779722129</v>
      </c>
      <c r="AB51">
        <v>184.36084132958061</v>
      </c>
      <c r="AC51">
        <v>28.1644314110913</v>
      </c>
      <c r="AD51" s="5">
        <v>0.13252273975650031</v>
      </c>
      <c r="AE51">
        <v>88.210928865828038</v>
      </c>
      <c r="AF51">
        <v>13.475804502914499</v>
      </c>
      <c r="AG51">
        <v>3.389731835604604</v>
      </c>
      <c r="AH51" t="str">
        <f t="shared" si="1"/>
        <v>False</v>
      </c>
      <c r="AI51">
        <v>3</v>
      </c>
    </row>
    <row r="52" spans="1:35" x14ac:dyDescent="0.35">
      <c r="A52" t="s">
        <v>94</v>
      </c>
      <c r="B52" t="s">
        <v>87</v>
      </c>
      <c r="C52" t="s">
        <v>63</v>
      </c>
      <c r="D52" t="s">
        <v>52</v>
      </c>
      <c r="E52" t="s">
        <v>52</v>
      </c>
      <c r="F52" t="s">
        <v>52</v>
      </c>
      <c r="G52" t="s">
        <v>37</v>
      </c>
      <c r="H52" t="s">
        <v>35</v>
      </c>
      <c r="I52" t="s">
        <v>37</v>
      </c>
      <c r="J52" t="s">
        <v>35</v>
      </c>
      <c r="K52" t="s">
        <v>35</v>
      </c>
      <c r="L52" t="s">
        <v>35</v>
      </c>
      <c r="M52" t="s">
        <v>35</v>
      </c>
      <c r="N52" t="s">
        <v>35</v>
      </c>
      <c r="O52" t="str">
        <f t="shared" si="2"/>
        <v>True</v>
      </c>
      <c r="P52" s="3">
        <v>589599.16250000009</v>
      </c>
      <c r="Q52" s="3">
        <v>5237.4603081897858</v>
      </c>
      <c r="R52" s="3">
        <v>9098.8601924898085</v>
      </c>
      <c r="S52" s="3">
        <v>8465.2242026830336</v>
      </c>
      <c r="T52" s="3">
        <v>839.50483079454114</v>
      </c>
      <c r="U52">
        <v>0.18526733905526421</v>
      </c>
      <c r="V52" s="3">
        <v>-390831.86203431309</v>
      </c>
      <c r="W52">
        <v>59.325569257985869</v>
      </c>
      <c r="X52">
        <v>17.103679273309069</v>
      </c>
      <c r="Y52">
        <v>24.166899932723801</v>
      </c>
      <c r="Z52" s="5">
        <v>0.58557210481773714</v>
      </c>
      <c r="AA52">
        <v>8.1835785996694099</v>
      </c>
      <c r="AB52">
        <v>103.2918047950846</v>
      </c>
      <c r="AC52">
        <v>109.23346794558729</v>
      </c>
      <c r="AD52" s="5">
        <v>0.51397872138659217</v>
      </c>
      <c r="AE52">
        <v>49.421916169896932</v>
      </c>
      <c r="AF52">
        <v>52.264817198845613</v>
      </c>
      <c r="AG52">
        <v>11.563110015657321</v>
      </c>
      <c r="AH52" t="str">
        <f t="shared" si="1"/>
        <v>True</v>
      </c>
      <c r="AI52">
        <v>7</v>
      </c>
    </row>
    <row r="53" spans="1:35" x14ac:dyDescent="0.35">
      <c r="A53" t="s">
        <v>95</v>
      </c>
      <c r="B53" t="s">
        <v>87</v>
      </c>
      <c r="C53" t="s">
        <v>63</v>
      </c>
      <c r="D53" t="s">
        <v>52</v>
      </c>
      <c r="E53" t="s">
        <v>52</v>
      </c>
      <c r="F53" t="s">
        <v>52</v>
      </c>
      <c r="G53" t="s">
        <v>37</v>
      </c>
      <c r="H53" t="s">
        <v>35</v>
      </c>
      <c r="I53" t="s">
        <v>37</v>
      </c>
      <c r="J53" t="s">
        <v>35</v>
      </c>
      <c r="K53" t="s">
        <v>35</v>
      </c>
      <c r="L53" t="s">
        <v>35</v>
      </c>
      <c r="M53" t="s">
        <v>35</v>
      </c>
      <c r="N53" t="s">
        <v>37</v>
      </c>
      <c r="O53" t="str">
        <f t="shared" si="2"/>
        <v>True</v>
      </c>
      <c r="P53" s="3">
        <v>605593.84</v>
      </c>
      <c r="Q53" s="3">
        <v>4661.042072283054</v>
      </c>
      <c r="R53" s="3">
        <v>9675.2784283965393</v>
      </c>
      <c r="S53" s="3">
        <v>8465.2242008292214</v>
      </c>
      <c r="T53" s="3">
        <v>839.50483264835316</v>
      </c>
      <c r="U53">
        <v>0.19135629220234521</v>
      </c>
      <c r="V53" s="3">
        <v>-395298.17477910209</v>
      </c>
      <c r="W53">
        <v>57.594514786015651</v>
      </c>
      <c r="X53">
        <v>15.593964959070041</v>
      </c>
      <c r="Y53">
        <v>25.676614246962821</v>
      </c>
      <c r="Z53" s="5">
        <v>0.62215298987636836</v>
      </c>
      <c r="AA53">
        <v>7.4612272531435613</v>
      </c>
      <c r="AB53">
        <v>96.641080937691598</v>
      </c>
      <c r="AC53">
        <v>115.8841918029803</v>
      </c>
      <c r="AD53" s="5">
        <v>0.54527252363244716</v>
      </c>
      <c r="AE53">
        <v>46.239751644828523</v>
      </c>
      <c r="AF53">
        <v>55.446981723914021</v>
      </c>
      <c r="AG53">
        <v>12.28546136218317</v>
      </c>
      <c r="AH53" t="str">
        <f t="shared" si="1"/>
        <v>True</v>
      </c>
      <c r="AI53">
        <v>7</v>
      </c>
    </row>
    <row r="54" spans="1:35" x14ac:dyDescent="0.35">
      <c r="A54" t="s">
        <v>96</v>
      </c>
      <c r="B54" t="s">
        <v>87</v>
      </c>
      <c r="C54" t="s">
        <v>63</v>
      </c>
      <c r="D54" t="s">
        <v>52</v>
      </c>
      <c r="E54" t="s">
        <v>52</v>
      </c>
      <c r="F54" t="s">
        <v>52</v>
      </c>
      <c r="G54" t="s">
        <v>37</v>
      </c>
      <c r="H54" t="s">
        <v>35</v>
      </c>
      <c r="I54" t="s">
        <v>37</v>
      </c>
      <c r="J54" t="s">
        <v>35</v>
      </c>
      <c r="K54" t="s">
        <v>37</v>
      </c>
      <c r="L54" t="s">
        <v>35</v>
      </c>
      <c r="M54" t="s">
        <v>35</v>
      </c>
      <c r="N54" t="s">
        <v>37</v>
      </c>
      <c r="O54" t="str">
        <f t="shared" si="2"/>
        <v>True</v>
      </c>
      <c r="P54" s="3">
        <v>697378.82</v>
      </c>
      <c r="Q54" s="3">
        <v>3262.8236235449299</v>
      </c>
      <c r="R54" s="3">
        <v>11073.496877134659</v>
      </c>
      <c r="S54" s="3">
        <v>8321.5245011874322</v>
      </c>
      <c r="T54" s="3">
        <v>983.20453229014322</v>
      </c>
      <c r="U54">
        <v>0.1903477001563359</v>
      </c>
      <c r="V54" s="3">
        <v>-456244.79181150382</v>
      </c>
      <c r="W54">
        <v>57.841593344499188</v>
      </c>
      <c r="X54">
        <v>11.87436914678511</v>
      </c>
      <c r="Y54">
        <v>29.39621005924776</v>
      </c>
      <c r="Z54" s="5">
        <v>0.71228004609517737</v>
      </c>
      <c r="AA54">
        <v>5.681516338174692</v>
      </c>
      <c r="AB54">
        <v>79.780818215932598</v>
      </c>
      <c r="AC54">
        <v>132.7444545247393</v>
      </c>
      <c r="AD54" s="5">
        <v>0.62460550132650361</v>
      </c>
      <c r="AE54">
        <v>38.172640294704593</v>
      </c>
      <c r="AF54">
        <v>63.514093074037937</v>
      </c>
      <c r="AG54">
        <v>14.06517227715204</v>
      </c>
      <c r="AH54" t="str">
        <f t="shared" si="1"/>
        <v>True</v>
      </c>
      <c r="AI54">
        <v>7</v>
      </c>
    </row>
    <row r="55" spans="1:35" x14ac:dyDescent="0.35">
      <c r="A55" t="s">
        <v>97</v>
      </c>
      <c r="B55" t="s">
        <v>87</v>
      </c>
      <c r="C55" t="s">
        <v>63</v>
      </c>
      <c r="D55" t="s">
        <v>52</v>
      </c>
      <c r="E55" t="s">
        <v>52</v>
      </c>
      <c r="F55" t="s">
        <v>52</v>
      </c>
      <c r="G55" t="s">
        <v>35</v>
      </c>
      <c r="H55" t="s">
        <v>35</v>
      </c>
      <c r="I55" t="s">
        <v>37</v>
      </c>
      <c r="J55" t="s">
        <v>35</v>
      </c>
      <c r="K55" t="s">
        <v>37</v>
      </c>
      <c r="L55" t="s">
        <v>35</v>
      </c>
      <c r="M55" t="s">
        <v>37</v>
      </c>
      <c r="N55" t="s">
        <v>37</v>
      </c>
      <c r="O55" t="str">
        <f t="shared" si="2"/>
        <v>True</v>
      </c>
      <c r="P55" s="3">
        <v>824568.95000000007</v>
      </c>
      <c r="Q55" s="3">
        <v>3543.2554962154181</v>
      </c>
      <c r="R55" s="3">
        <v>10793.065004464181</v>
      </c>
      <c r="S55" s="3">
        <v>8349.9523930730629</v>
      </c>
      <c r="T55" s="3">
        <v>954.77664040451316</v>
      </c>
      <c r="U55">
        <v>0.15688789627830199</v>
      </c>
      <c r="V55" s="3">
        <v>-589612.11710262625</v>
      </c>
      <c r="W55">
        <v>70.188973849520835</v>
      </c>
      <c r="X55">
        <v>12.620227843590129</v>
      </c>
      <c r="Y55">
        <v>28.650351362442731</v>
      </c>
      <c r="Z55" s="5">
        <v>0.6942076392825296</v>
      </c>
      <c r="AA55">
        <v>6.0383865280335556</v>
      </c>
      <c r="AB55">
        <v>83.160384838763491</v>
      </c>
      <c r="AC55">
        <v>129.36488790190839</v>
      </c>
      <c r="AD55" s="5">
        <v>0.60870354962330686</v>
      </c>
      <c r="AE55">
        <v>39.789657817590189</v>
      </c>
      <c r="AF55">
        <v>61.897075551152348</v>
      </c>
      <c r="AG55">
        <v>13.70830208729317</v>
      </c>
      <c r="AH55" t="str">
        <f t="shared" si="1"/>
        <v>True</v>
      </c>
      <c r="AI55">
        <v>3</v>
      </c>
    </row>
    <row r="56" spans="1:35" x14ac:dyDescent="0.35">
      <c r="A56" t="s">
        <v>98</v>
      </c>
      <c r="B56" t="s">
        <v>99</v>
      </c>
      <c r="C56" t="s">
        <v>63</v>
      </c>
      <c r="D56" t="s">
        <v>52</v>
      </c>
      <c r="E56" t="s">
        <v>39</v>
      </c>
      <c r="F56" t="s">
        <v>39</v>
      </c>
      <c r="G56" t="s">
        <v>35</v>
      </c>
      <c r="H56" t="s">
        <v>35</v>
      </c>
      <c r="I56" t="s">
        <v>35</v>
      </c>
      <c r="J56" t="s">
        <v>35</v>
      </c>
      <c r="K56" t="s">
        <v>35</v>
      </c>
      <c r="L56" t="s">
        <v>35</v>
      </c>
      <c r="M56" t="s">
        <v>35</v>
      </c>
      <c r="N56" t="s">
        <v>35</v>
      </c>
      <c r="O56" t="str">
        <f t="shared" si="2"/>
        <v>False</v>
      </c>
      <c r="P56" s="3">
        <v>0</v>
      </c>
      <c r="Q56" s="3">
        <v>38028.618238118623</v>
      </c>
      <c r="R56" s="3">
        <v>0</v>
      </c>
      <c r="S56" s="3">
        <v>21397.005235611221</v>
      </c>
      <c r="T56" s="3">
        <v>0</v>
      </c>
      <c r="U56">
        <v>0</v>
      </c>
      <c r="V56" s="3">
        <v>0</v>
      </c>
      <c r="W56">
        <v>0</v>
      </c>
      <c r="X56">
        <v>108.1606982526952</v>
      </c>
      <c r="Y56">
        <v>-4.2632564145606011E-14</v>
      </c>
      <c r="Z56" s="5">
        <v>-3.9415947598640501E-16</v>
      </c>
      <c r="AA56">
        <v>15.910664644409421</v>
      </c>
      <c r="AB56">
        <v>547.11413996046997</v>
      </c>
      <c r="AC56">
        <v>0</v>
      </c>
      <c r="AD56" s="5">
        <v>0</v>
      </c>
      <c r="AE56">
        <v>80.481632827371286</v>
      </c>
      <c r="AF56">
        <v>0</v>
      </c>
      <c r="AG56">
        <v>1.7763568394002501E-15</v>
      </c>
      <c r="AH56" t="str">
        <f t="shared" si="1"/>
        <v>False</v>
      </c>
      <c r="AI56">
        <v>0</v>
      </c>
    </row>
    <row r="57" spans="1:35" x14ac:dyDescent="0.35">
      <c r="A57" t="s">
        <v>100</v>
      </c>
      <c r="B57" t="s">
        <v>99</v>
      </c>
      <c r="C57" t="s">
        <v>63</v>
      </c>
      <c r="D57" t="s">
        <v>52</v>
      </c>
      <c r="E57" t="s">
        <v>52</v>
      </c>
      <c r="F57" t="s">
        <v>52</v>
      </c>
      <c r="G57" t="s">
        <v>37</v>
      </c>
      <c r="H57" t="s">
        <v>35</v>
      </c>
      <c r="I57" t="s">
        <v>35</v>
      </c>
      <c r="J57" t="s">
        <v>35</v>
      </c>
      <c r="K57" t="s">
        <v>35</v>
      </c>
      <c r="L57" t="s">
        <v>35</v>
      </c>
      <c r="M57" t="s">
        <v>35</v>
      </c>
      <c r="N57" t="s">
        <v>35</v>
      </c>
      <c r="O57" t="str">
        <f t="shared" si="2"/>
        <v>False</v>
      </c>
      <c r="P57" s="3">
        <v>198187.53750000001</v>
      </c>
      <c r="Q57" s="3">
        <v>35578.485130487592</v>
      </c>
      <c r="R57" s="3">
        <v>2450.1331076310289</v>
      </c>
      <c r="S57" s="3">
        <v>20789.067300321221</v>
      </c>
      <c r="T57" s="3">
        <v>607.93793528999333</v>
      </c>
      <c r="U57">
        <v>0.15817264035643511</v>
      </c>
      <c r="V57" s="3">
        <v>-137026.11664157949</v>
      </c>
      <c r="W57">
        <v>64.808022677816638</v>
      </c>
      <c r="X57">
        <v>101.5003058704075</v>
      </c>
      <c r="Y57">
        <v>6.6603923822876681</v>
      </c>
      <c r="Z57" s="5">
        <v>6.1578674045974002E-2</v>
      </c>
      <c r="AA57">
        <v>14.930907012416521</v>
      </c>
      <c r="AB57">
        <v>515.76629386835498</v>
      </c>
      <c r="AC57">
        <v>31.347846092114992</v>
      </c>
      <c r="AD57" s="5">
        <v>5.7296720743463002E-2</v>
      </c>
      <c r="AE57">
        <v>75.870299186283461</v>
      </c>
      <c r="AF57">
        <v>4.6113336410878194</v>
      </c>
      <c r="AG57">
        <v>0.97975763199289823</v>
      </c>
      <c r="AH57" t="str">
        <f t="shared" si="1"/>
        <v>True</v>
      </c>
      <c r="AI57">
        <v>14</v>
      </c>
    </row>
    <row r="58" spans="1:35" x14ac:dyDescent="0.35">
      <c r="A58" t="s">
        <v>101</v>
      </c>
      <c r="B58" t="s">
        <v>99</v>
      </c>
      <c r="C58" t="s">
        <v>63</v>
      </c>
      <c r="D58" t="s">
        <v>52</v>
      </c>
      <c r="E58" t="s">
        <v>52</v>
      </c>
      <c r="F58" t="s">
        <v>52</v>
      </c>
      <c r="G58" t="s">
        <v>37</v>
      </c>
      <c r="H58" t="s">
        <v>35</v>
      </c>
      <c r="I58" t="s">
        <v>37</v>
      </c>
      <c r="J58" t="s">
        <v>35</v>
      </c>
      <c r="K58" t="s">
        <v>35</v>
      </c>
      <c r="L58" t="s">
        <v>35</v>
      </c>
      <c r="M58" t="s">
        <v>37</v>
      </c>
      <c r="N58" t="s">
        <v>35</v>
      </c>
      <c r="O58" t="str">
        <f t="shared" si="2"/>
        <v>True</v>
      </c>
      <c r="P58" s="3">
        <v>1743504</v>
      </c>
      <c r="Q58" s="3">
        <v>27648.876422826808</v>
      </c>
      <c r="R58" s="3">
        <v>10379.741815291811</v>
      </c>
      <c r="S58" s="3">
        <v>19048.99149170869</v>
      </c>
      <c r="T58" s="3">
        <v>2348.013743902527</v>
      </c>
      <c r="U58">
        <v>7.5509045394841406E-2</v>
      </c>
      <c r="V58" s="3">
        <v>-1488948.8888161129</v>
      </c>
      <c r="W58">
        <v>136.98440325093449</v>
      </c>
      <c r="X58">
        <v>80.035599227140224</v>
      </c>
      <c r="Y58">
        <v>28.12509902555497</v>
      </c>
      <c r="Z58" s="5">
        <v>0.26003067176809891</v>
      </c>
      <c r="AA58">
        <v>11.773403828646691</v>
      </c>
      <c r="AB58">
        <v>415.46381727838241</v>
      </c>
      <c r="AC58">
        <v>131.65032268208759</v>
      </c>
      <c r="AD58" s="5">
        <v>0.2406267962505951</v>
      </c>
      <c r="AE58">
        <v>61.115595363104212</v>
      </c>
      <c r="AF58">
        <v>19.36603746426707</v>
      </c>
      <c r="AG58">
        <v>4.137260815762728</v>
      </c>
      <c r="AH58" t="str">
        <f t="shared" si="1"/>
        <v>True</v>
      </c>
      <c r="AI58">
        <v>14</v>
      </c>
    </row>
    <row r="59" spans="1:35" x14ac:dyDescent="0.35">
      <c r="A59" t="s">
        <v>102</v>
      </c>
      <c r="B59" t="s">
        <v>99</v>
      </c>
      <c r="C59" t="s">
        <v>63</v>
      </c>
      <c r="D59" t="s">
        <v>52</v>
      </c>
      <c r="E59" t="s">
        <v>52</v>
      </c>
      <c r="F59" t="s">
        <v>52</v>
      </c>
      <c r="G59" t="s">
        <v>35</v>
      </c>
      <c r="H59" t="s">
        <v>37</v>
      </c>
      <c r="I59" t="s">
        <v>35</v>
      </c>
      <c r="J59" t="s">
        <v>35</v>
      </c>
      <c r="K59" t="s">
        <v>35</v>
      </c>
      <c r="L59" t="s">
        <v>35</v>
      </c>
      <c r="M59" t="s">
        <v>35</v>
      </c>
      <c r="N59" t="s">
        <v>35</v>
      </c>
      <c r="O59" t="str">
        <f t="shared" si="2"/>
        <v>False</v>
      </c>
      <c r="P59" s="3">
        <v>475650.08999999991</v>
      </c>
      <c r="Q59" s="3">
        <v>35578.485130487592</v>
      </c>
      <c r="R59" s="3">
        <v>2450.1331076310289</v>
      </c>
      <c r="S59" s="3">
        <v>20789.067300321221</v>
      </c>
      <c r="T59" s="3">
        <v>607.93793528999333</v>
      </c>
      <c r="U59">
        <v>6.5905266815181301E-2</v>
      </c>
      <c r="V59" s="3">
        <v>-414488.66914157948</v>
      </c>
      <c r="W59">
        <v>155.5392544267599</v>
      </c>
      <c r="X59">
        <v>101.5003058704075</v>
      </c>
      <c r="Y59">
        <v>6.6603923822876681</v>
      </c>
      <c r="Z59" s="5">
        <v>6.1578674045974002E-2</v>
      </c>
      <c r="AA59">
        <v>14.930907012416521</v>
      </c>
      <c r="AB59">
        <v>515.76629386835498</v>
      </c>
      <c r="AC59">
        <v>31.347846092114992</v>
      </c>
      <c r="AD59" s="5">
        <v>5.7296720743463002E-2</v>
      </c>
      <c r="AE59">
        <v>75.870299186283461</v>
      </c>
      <c r="AF59">
        <v>4.6113336410878194</v>
      </c>
      <c r="AG59">
        <v>0.97975763199289823</v>
      </c>
      <c r="AH59" t="str">
        <f t="shared" si="1"/>
        <v>False</v>
      </c>
      <c r="AI59">
        <v>10</v>
      </c>
    </row>
    <row r="60" spans="1:35" x14ac:dyDescent="0.35">
      <c r="A60" t="s">
        <v>103</v>
      </c>
      <c r="B60" t="s">
        <v>99</v>
      </c>
      <c r="C60" t="s">
        <v>63</v>
      </c>
      <c r="D60" t="s">
        <v>52</v>
      </c>
      <c r="E60" t="s">
        <v>52</v>
      </c>
      <c r="F60" t="s">
        <v>52</v>
      </c>
      <c r="G60" t="s">
        <v>35</v>
      </c>
      <c r="H60" t="s">
        <v>35</v>
      </c>
      <c r="I60" t="s">
        <v>37</v>
      </c>
      <c r="J60" t="s">
        <v>35</v>
      </c>
      <c r="K60" t="s">
        <v>35</v>
      </c>
      <c r="L60" t="s">
        <v>35</v>
      </c>
      <c r="M60" t="s">
        <v>35</v>
      </c>
      <c r="N60" t="s">
        <v>35</v>
      </c>
      <c r="O60" t="str">
        <f t="shared" si="2"/>
        <v>False</v>
      </c>
      <c r="P60" s="3">
        <v>968916.85</v>
      </c>
      <c r="Q60" s="3">
        <v>34013.329722358452</v>
      </c>
      <c r="R60" s="3">
        <v>4015.2885157601709</v>
      </c>
      <c r="S60" s="3">
        <v>20153.634379428269</v>
      </c>
      <c r="T60" s="3">
        <v>1243.3708561829469</v>
      </c>
      <c r="U60">
        <v>5.4312213560519601E-2</v>
      </c>
      <c r="V60" s="3">
        <v>-863743.66256113769</v>
      </c>
      <c r="W60">
        <v>184.25168497688361</v>
      </c>
      <c r="X60">
        <v>97.146787165586559</v>
      </c>
      <c r="Y60">
        <v>11.013911087108619</v>
      </c>
      <c r="Z60" s="5">
        <v>0.1018291418697842</v>
      </c>
      <c r="AA60">
        <v>14.29049531709129</v>
      </c>
      <c r="AB60">
        <v>494.49012108088402</v>
      </c>
      <c r="AC60">
        <v>52.624018879586004</v>
      </c>
      <c r="AD60" s="5">
        <v>9.6184717293887098E-2</v>
      </c>
      <c r="AE60">
        <v>72.740529726520151</v>
      </c>
      <c r="AF60">
        <v>7.7411031008511326</v>
      </c>
      <c r="AG60">
        <v>1.6201693273181319</v>
      </c>
      <c r="AH60" t="str">
        <f t="shared" si="1"/>
        <v>True</v>
      </c>
      <c r="AI60">
        <v>5</v>
      </c>
    </row>
    <row r="61" spans="1:35" x14ac:dyDescent="0.35">
      <c r="A61" t="s">
        <v>104</v>
      </c>
      <c r="B61" t="s">
        <v>99</v>
      </c>
      <c r="C61" t="s">
        <v>63</v>
      </c>
      <c r="D61" t="s">
        <v>52</v>
      </c>
      <c r="E61" t="s">
        <v>52</v>
      </c>
      <c r="F61" t="s">
        <v>52</v>
      </c>
      <c r="G61" t="s">
        <v>35</v>
      </c>
      <c r="H61" t="s">
        <v>35</v>
      </c>
      <c r="I61" t="s">
        <v>35</v>
      </c>
      <c r="J61" t="s">
        <v>35</v>
      </c>
      <c r="K61" t="s">
        <v>35</v>
      </c>
      <c r="L61" t="s">
        <v>35</v>
      </c>
      <c r="M61" t="s">
        <v>37</v>
      </c>
      <c r="N61" t="s">
        <v>35</v>
      </c>
      <c r="O61" t="str">
        <f t="shared" si="2"/>
        <v>False</v>
      </c>
      <c r="P61" s="3">
        <v>576400</v>
      </c>
      <c r="Q61" s="3">
        <v>31295.224974371969</v>
      </c>
      <c r="R61" s="3">
        <v>6733.3932637466542</v>
      </c>
      <c r="S61" s="3">
        <v>20201.798660518489</v>
      </c>
      <c r="T61" s="3">
        <v>1195.2065750927261</v>
      </c>
      <c r="U61">
        <v>0.14528398678167079</v>
      </c>
      <c r="V61" s="3">
        <v>-417828.00322321238</v>
      </c>
      <c r="W61">
        <v>72.698838599019993</v>
      </c>
      <c r="X61">
        <v>90.046983098480339</v>
      </c>
      <c r="Y61">
        <v>18.113715154214859</v>
      </c>
      <c r="Z61" s="5">
        <v>0.16747039772150779</v>
      </c>
      <c r="AA61">
        <v>13.246099308396641</v>
      </c>
      <c r="AB61">
        <v>463.37244997951501</v>
      </c>
      <c r="AC61">
        <v>83.741689980955016</v>
      </c>
      <c r="AD61" s="5">
        <v>0.15306073059454381</v>
      </c>
      <c r="AE61">
        <v>68.163055307372005</v>
      </c>
      <c r="AF61">
        <v>12.31857751999927</v>
      </c>
      <c r="AG61">
        <v>2.664565336012783</v>
      </c>
      <c r="AH61" t="str">
        <f t="shared" si="1"/>
        <v>False</v>
      </c>
      <c r="AI61">
        <v>0</v>
      </c>
    </row>
    <row r="62" spans="1:35" x14ac:dyDescent="0.35">
      <c r="A62" t="s">
        <v>105</v>
      </c>
      <c r="B62" t="s">
        <v>99</v>
      </c>
      <c r="C62" t="s">
        <v>63</v>
      </c>
      <c r="D62" t="s">
        <v>52</v>
      </c>
      <c r="E62" t="s">
        <v>52</v>
      </c>
      <c r="F62" t="s">
        <v>52</v>
      </c>
      <c r="G62" t="s">
        <v>37</v>
      </c>
      <c r="H62" t="s">
        <v>35</v>
      </c>
      <c r="I62" t="s">
        <v>37</v>
      </c>
      <c r="J62" t="s">
        <v>35</v>
      </c>
      <c r="K62" t="s">
        <v>35</v>
      </c>
      <c r="L62" t="s">
        <v>35</v>
      </c>
      <c r="M62" t="s">
        <v>35</v>
      </c>
      <c r="N62" t="s">
        <v>35</v>
      </c>
      <c r="O62" t="str">
        <f t="shared" si="2"/>
        <v>True</v>
      </c>
      <c r="P62" s="3">
        <v>1167104.3875</v>
      </c>
      <c r="Q62" s="3">
        <v>31736.68539921159</v>
      </c>
      <c r="R62" s="3">
        <v>6291.9328389070351</v>
      </c>
      <c r="S62" s="3">
        <v>19607.82438422797</v>
      </c>
      <c r="T62" s="3">
        <v>1789.1808513832509</v>
      </c>
      <c r="U62">
        <v>6.9964244260990294E-2</v>
      </c>
      <c r="V62" s="3">
        <v>-1005482.113694194</v>
      </c>
      <c r="W62">
        <v>144.4237059679426</v>
      </c>
      <c r="X62">
        <v>90.965635645245726</v>
      </c>
      <c r="Y62">
        <v>17.19506260744949</v>
      </c>
      <c r="Z62" s="5">
        <v>0.1589769933555418</v>
      </c>
      <c r="AA62">
        <v>13.381235016952891</v>
      </c>
      <c r="AB62">
        <v>465.45856351534638</v>
      </c>
      <c r="AC62">
        <v>81.655576445123586</v>
      </c>
      <c r="AD62" s="5">
        <v>0.14924779032584201</v>
      </c>
      <c r="AE62">
        <v>68.469926966070375</v>
      </c>
      <c r="AF62">
        <v>12.011705861300911</v>
      </c>
      <c r="AG62">
        <v>2.5294296274565351</v>
      </c>
      <c r="AH62" t="str">
        <f t="shared" si="1"/>
        <v>True</v>
      </c>
      <c r="AI62">
        <v>14</v>
      </c>
    </row>
    <row r="63" spans="1:35" x14ac:dyDescent="0.35">
      <c r="A63" t="s">
        <v>106</v>
      </c>
      <c r="B63" t="s">
        <v>99</v>
      </c>
      <c r="C63" t="s">
        <v>63</v>
      </c>
      <c r="D63" t="s">
        <v>52</v>
      </c>
      <c r="E63" t="s">
        <v>52</v>
      </c>
      <c r="F63" t="s">
        <v>52</v>
      </c>
      <c r="G63" t="s">
        <v>37</v>
      </c>
      <c r="H63" t="s">
        <v>35</v>
      </c>
      <c r="I63" t="s">
        <v>35</v>
      </c>
      <c r="J63" t="s">
        <v>35</v>
      </c>
      <c r="K63" t="s">
        <v>35</v>
      </c>
      <c r="L63" t="s">
        <v>35</v>
      </c>
      <c r="M63" t="s">
        <v>37</v>
      </c>
      <c r="N63" t="s">
        <v>35</v>
      </c>
      <c r="O63" t="str">
        <f t="shared" si="2"/>
        <v>True</v>
      </c>
      <c r="P63" s="3">
        <v>774587.53749999998</v>
      </c>
      <c r="Q63" s="3">
        <v>29069.29879597847</v>
      </c>
      <c r="R63" s="3">
        <v>8959.3194421401568</v>
      </c>
      <c r="S63" s="3">
        <v>19638.616373984649</v>
      </c>
      <c r="T63" s="3">
        <v>1758.388861626569</v>
      </c>
      <c r="U63">
        <v>0.14494942950191469</v>
      </c>
      <c r="V63" s="3">
        <v>-560233.37142466544</v>
      </c>
      <c r="W63">
        <v>72.271750223671617</v>
      </c>
      <c r="X63">
        <v>83.991720077770992</v>
      </c>
      <c r="Y63">
        <v>24.168978174924209</v>
      </c>
      <c r="Z63" s="5">
        <v>0.2234543467762973</v>
      </c>
      <c r="AA63">
        <v>12.35535746951618</v>
      </c>
      <c r="AB63">
        <v>434.83811830055203</v>
      </c>
      <c r="AC63">
        <v>112.2760216599179</v>
      </c>
      <c r="AD63" s="5">
        <v>0.20521498798775351</v>
      </c>
      <c r="AE63">
        <v>63.965595513467491</v>
      </c>
      <c r="AF63">
        <v>16.516037313903791</v>
      </c>
      <c r="AG63">
        <v>3.5553071748932399</v>
      </c>
      <c r="AH63" t="str">
        <f t="shared" si="1"/>
        <v>True</v>
      </c>
      <c r="AI63">
        <v>14</v>
      </c>
    </row>
    <row r="64" spans="1:35" x14ac:dyDescent="0.35">
      <c r="A64" t="s">
        <v>107</v>
      </c>
      <c r="B64" t="s">
        <v>99</v>
      </c>
      <c r="C64" t="s">
        <v>63</v>
      </c>
      <c r="D64" t="s">
        <v>52</v>
      </c>
      <c r="E64" t="s">
        <v>52</v>
      </c>
      <c r="F64" t="s">
        <v>52</v>
      </c>
      <c r="G64" t="s">
        <v>35</v>
      </c>
      <c r="H64" t="s">
        <v>35</v>
      </c>
      <c r="I64" t="s">
        <v>37</v>
      </c>
      <c r="J64" t="s">
        <v>35</v>
      </c>
      <c r="K64" t="s">
        <v>35</v>
      </c>
      <c r="L64" t="s">
        <v>35</v>
      </c>
      <c r="M64" t="s">
        <v>37</v>
      </c>
      <c r="N64" t="s">
        <v>35</v>
      </c>
      <c r="O64" t="str">
        <f t="shared" si="2"/>
        <v>True</v>
      </c>
      <c r="P64" s="3">
        <v>1545316.85</v>
      </c>
      <c r="Q64" s="3">
        <v>27648.876422826808</v>
      </c>
      <c r="R64" s="3">
        <v>10379.741815291811</v>
      </c>
      <c r="S64" s="3">
        <v>19048.99149170869</v>
      </c>
      <c r="T64" s="3">
        <v>2348.013743902527</v>
      </c>
      <c r="U64">
        <v>8.5193093365989903E-2</v>
      </c>
      <c r="V64" s="3">
        <v>-1290761.738816113</v>
      </c>
      <c r="W64">
        <v>121.41314647449261</v>
      </c>
      <c r="X64">
        <v>80.035599227140224</v>
      </c>
      <c r="Y64">
        <v>28.12509902555497</v>
      </c>
      <c r="Z64" s="5">
        <v>0.26003067176809891</v>
      </c>
      <c r="AA64">
        <v>11.773403828646691</v>
      </c>
      <c r="AB64">
        <v>415.46381727838241</v>
      </c>
      <c r="AC64">
        <v>131.65032268208759</v>
      </c>
      <c r="AD64" s="5">
        <v>0.2406267962505951</v>
      </c>
      <c r="AE64">
        <v>61.115595363104212</v>
      </c>
      <c r="AF64">
        <v>19.36603746426707</v>
      </c>
      <c r="AG64">
        <v>4.137260815762728</v>
      </c>
      <c r="AH64" t="str">
        <f t="shared" si="1"/>
        <v>True</v>
      </c>
      <c r="AI64">
        <v>5</v>
      </c>
    </row>
    <row r="65" spans="1:35" x14ac:dyDescent="0.35">
      <c r="A65" t="s">
        <v>108</v>
      </c>
      <c r="B65" t="s">
        <v>99</v>
      </c>
      <c r="C65" t="s">
        <v>63</v>
      </c>
      <c r="D65" t="s">
        <v>52</v>
      </c>
      <c r="E65" t="s">
        <v>52</v>
      </c>
      <c r="F65" t="s">
        <v>52</v>
      </c>
      <c r="G65" t="s">
        <v>35</v>
      </c>
      <c r="H65" t="s">
        <v>37</v>
      </c>
      <c r="I65" t="s">
        <v>37</v>
      </c>
      <c r="J65" t="s">
        <v>35</v>
      </c>
      <c r="K65" t="s">
        <v>35</v>
      </c>
      <c r="L65" t="s">
        <v>35</v>
      </c>
      <c r="M65" t="s">
        <v>35</v>
      </c>
      <c r="N65" t="s">
        <v>35</v>
      </c>
      <c r="O65" t="str">
        <f t="shared" si="2"/>
        <v>True</v>
      </c>
      <c r="P65" s="3">
        <v>1444566.94</v>
      </c>
      <c r="Q65" s="3">
        <v>31736.685399211681</v>
      </c>
      <c r="R65" s="3">
        <v>6291.9328389069469</v>
      </c>
      <c r="S65" s="3">
        <v>19607.82438422797</v>
      </c>
      <c r="T65" s="3">
        <v>1789.1808513832509</v>
      </c>
      <c r="U65">
        <v>5.6525990027933598E-2</v>
      </c>
      <c r="V65" s="3">
        <v>-1282944.6661941961</v>
      </c>
      <c r="W65">
        <v>178.7583983301347</v>
      </c>
      <c r="X65">
        <v>90.965635645245939</v>
      </c>
      <c r="Y65">
        <v>17.195062607449259</v>
      </c>
      <c r="Z65" s="5">
        <v>0.15897699335553969</v>
      </c>
      <c r="AA65">
        <v>13.381235016952919</v>
      </c>
      <c r="AB65">
        <v>465.45856351534741</v>
      </c>
      <c r="AC65">
        <v>81.655576445122563</v>
      </c>
      <c r="AD65" s="5">
        <v>0.1492477903258401</v>
      </c>
      <c r="AE65">
        <v>68.469926966070531</v>
      </c>
      <c r="AF65">
        <v>12.01170586130076</v>
      </c>
      <c r="AG65">
        <v>2.5294296274565009</v>
      </c>
      <c r="AH65" t="str">
        <f t="shared" si="1"/>
        <v>True</v>
      </c>
      <c r="AI65">
        <v>10</v>
      </c>
    </row>
    <row r="66" spans="1:35" x14ac:dyDescent="0.35">
      <c r="A66" t="s">
        <v>109</v>
      </c>
      <c r="B66" t="s">
        <v>99</v>
      </c>
      <c r="C66" t="s">
        <v>63</v>
      </c>
      <c r="D66" t="s">
        <v>52</v>
      </c>
      <c r="E66" t="s">
        <v>52</v>
      </c>
      <c r="F66" t="s">
        <v>52</v>
      </c>
      <c r="G66" t="s">
        <v>35</v>
      </c>
      <c r="H66" t="s">
        <v>37</v>
      </c>
      <c r="I66" t="s">
        <v>35</v>
      </c>
      <c r="J66" t="s">
        <v>35</v>
      </c>
      <c r="K66" t="s">
        <v>35</v>
      </c>
      <c r="L66" t="s">
        <v>35</v>
      </c>
      <c r="M66" t="s">
        <v>37</v>
      </c>
      <c r="N66" t="s">
        <v>35</v>
      </c>
      <c r="O66" t="str">
        <f t="shared" si="2"/>
        <v>True</v>
      </c>
      <c r="P66" s="3">
        <v>1052050.0900000001</v>
      </c>
      <c r="Q66" s="3">
        <v>29069.29879597847</v>
      </c>
      <c r="R66" s="3">
        <v>8959.3194421401568</v>
      </c>
      <c r="S66" s="3">
        <v>19638.616373984649</v>
      </c>
      <c r="T66" s="3">
        <v>1758.388861626569</v>
      </c>
      <c r="U66">
        <v>0.1067211749013946</v>
      </c>
      <c r="V66" s="3">
        <v>-837695.92392466555</v>
      </c>
      <c r="W66">
        <v>98.15998534222642</v>
      </c>
      <c r="X66">
        <v>83.991720077770992</v>
      </c>
      <c r="Y66">
        <v>24.168978174924209</v>
      </c>
      <c r="Z66" s="5">
        <v>0.2234543467762973</v>
      </c>
      <c r="AA66">
        <v>12.35535746951618</v>
      </c>
      <c r="AB66">
        <v>434.83811830055203</v>
      </c>
      <c r="AC66">
        <v>112.2760216599179</v>
      </c>
      <c r="AD66" s="5">
        <v>0.20521498798775351</v>
      </c>
      <c r="AE66">
        <v>63.965595513467491</v>
      </c>
      <c r="AF66">
        <v>16.516037313903791</v>
      </c>
      <c r="AG66">
        <v>3.5553071748932399</v>
      </c>
      <c r="AH66" t="str">
        <f t="shared" si="1"/>
        <v>False</v>
      </c>
      <c r="AI66">
        <v>10</v>
      </c>
    </row>
    <row r="67" spans="1:35" x14ac:dyDescent="0.35">
      <c r="A67" t="s">
        <v>110</v>
      </c>
      <c r="B67" t="s">
        <v>111</v>
      </c>
      <c r="C67" t="s">
        <v>63</v>
      </c>
      <c r="D67" t="s">
        <v>39</v>
      </c>
      <c r="E67" t="s">
        <v>39</v>
      </c>
      <c r="F67" t="s">
        <v>39</v>
      </c>
      <c r="G67" t="s">
        <v>35</v>
      </c>
      <c r="H67" t="s">
        <v>35</v>
      </c>
      <c r="I67" t="s">
        <v>35</v>
      </c>
      <c r="J67" t="s">
        <v>35</v>
      </c>
      <c r="K67" t="s">
        <v>35</v>
      </c>
      <c r="L67" t="s">
        <v>35</v>
      </c>
      <c r="M67" t="s">
        <v>35</v>
      </c>
      <c r="N67" t="s">
        <v>35</v>
      </c>
      <c r="O67" t="str">
        <f t="shared" si="2"/>
        <v>False</v>
      </c>
      <c r="P67" s="3">
        <v>0</v>
      </c>
      <c r="Q67" s="3">
        <v>27248.391251027169</v>
      </c>
      <c r="R67" s="3">
        <v>0</v>
      </c>
      <c r="S67" s="3">
        <v>20608.06281130018</v>
      </c>
      <c r="T67" s="3">
        <v>0</v>
      </c>
      <c r="U67">
        <v>0</v>
      </c>
      <c r="V67" s="3">
        <v>0</v>
      </c>
      <c r="W67">
        <v>0</v>
      </c>
      <c r="X67">
        <v>79.610305013560875</v>
      </c>
      <c r="Y67">
        <v>0</v>
      </c>
      <c r="Z67" s="5">
        <v>0</v>
      </c>
      <c r="AA67">
        <v>21.3260929583608</v>
      </c>
      <c r="AB67">
        <v>418.73704424804998</v>
      </c>
      <c r="AC67">
        <v>0</v>
      </c>
      <c r="AD67" s="5">
        <v>0</v>
      </c>
      <c r="AE67">
        <v>112.17172361319309</v>
      </c>
      <c r="AF67">
        <v>0</v>
      </c>
      <c r="AG67">
        <v>-3.5527136788005009E-15</v>
      </c>
      <c r="AH67" t="str">
        <f t="shared" ref="AH67:AH130" si="3">IF(OR(G67="True",I67="True",J67="True"),"True","False")</f>
        <v>False</v>
      </c>
      <c r="AI67">
        <v>0</v>
      </c>
    </row>
    <row r="68" spans="1:35" x14ac:dyDescent="0.35">
      <c r="A68" t="s">
        <v>112</v>
      </c>
      <c r="B68" t="s">
        <v>111</v>
      </c>
      <c r="C68" t="s">
        <v>63</v>
      </c>
      <c r="D68" t="s">
        <v>52</v>
      </c>
      <c r="E68" t="s">
        <v>52</v>
      </c>
      <c r="F68" t="s">
        <v>52</v>
      </c>
      <c r="G68" t="s">
        <v>35</v>
      </c>
      <c r="H68" t="s">
        <v>37</v>
      </c>
      <c r="I68" t="s">
        <v>35</v>
      </c>
      <c r="J68" t="s">
        <v>35</v>
      </c>
      <c r="K68" t="s">
        <v>35</v>
      </c>
      <c r="L68" t="s">
        <v>35</v>
      </c>
      <c r="M68" t="s">
        <v>35</v>
      </c>
      <c r="N68" t="s">
        <v>35</v>
      </c>
      <c r="O68" t="str">
        <f t="shared" si="2"/>
        <v>False</v>
      </c>
      <c r="P68" s="3">
        <v>266245.38</v>
      </c>
      <c r="Q68" s="3">
        <v>15766.319335087461</v>
      </c>
      <c r="R68" s="3">
        <v>11482.071915939699</v>
      </c>
      <c r="S68" s="3">
        <v>19543.13785936563</v>
      </c>
      <c r="T68" s="3">
        <v>1064.9249519345451</v>
      </c>
      <c r="U68">
        <v>0.51783950151149016</v>
      </c>
      <c r="V68" s="3">
        <v>-15305.44264251506</v>
      </c>
      <c r="W68">
        <v>21.219849084501138</v>
      </c>
      <c r="X68">
        <v>49.111295631398903</v>
      </c>
      <c r="Y68">
        <v>30.499009382161979</v>
      </c>
      <c r="Z68" s="5">
        <v>0.38310378759341213</v>
      </c>
      <c r="AA68">
        <v>13.155985971443579</v>
      </c>
      <c r="AB68">
        <v>280.86466938911269</v>
      </c>
      <c r="AC68">
        <v>137.87237485893729</v>
      </c>
      <c r="AD68" s="5">
        <v>0.32925764928804557</v>
      </c>
      <c r="AE68">
        <v>75.238325579724801</v>
      </c>
      <c r="AF68">
        <v>36.933398033468329</v>
      </c>
      <c r="AG68">
        <v>8.1701069869172152</v>
      </c>
      <c r="AH68" t="str">
        <f t="shared" si="3"/>
        <v>False</v>
      </c>
      <c r="AI68">
        <v>6</v>
      </c>
    </row>
    <row r="69" spans="1:35" x14ac:dyDescent="0.35">
      <c r="A69" t="s">
        <v>113</v>
      </c>
      <c r="B69" t="s">
        <v>111</v>
      </c>
      <c r="C69" t="s">
        <v>63</v>
      </c>
      <c r="D69" t="s">
        <v>39</v>
      </c>
      <c r="E69" t="s">
        <v>52</v>
      </c>
      <c r="F69" t="s">
        <v>39</v>
      </c>
      <c r="G69" t="s">
        <v>35</v>
      </c>
      <c r="H69" t="s">
        <v>35</v>
      </c>
      <c r="I69" t="s">
        <v>35</v>
      </c>
      <c r="J69" t="s">
        <v>37</v>
      </c>
      <c r="K69" t="s">
        <v>35</v>
      </c>
      <c r="L69" t="s">
        <v>35</v>
      </c>
      <c r="M69" t="s">
        <v>35</v>
      </c>
      <c r="N69" t="s">
        <v>37</v>
      </c>
      <c r="O69" t="str">
        <f t="shared" ref="O69:O132" si="4">IF(COUNTIF(G69:N69,"True")&gt;1, "True", "False")</f>
        <v>True</v>
      </c>
      <c r="P69" s="3">
        <v>684264.21</v>
      </c>
      <c r="Q69" s="3">
        <v>17562.6272829599</v>
      </c>
      <c r="R69" s="3">
        <v>9685.7639680672692</v>
      </c>
      <c r="S69" s="3">
        <v>19909.2172777489</v>
      </c>
      <c r="T69" s="3">
        <v>698.84553355127866</v>
      </c>
      <c r="U69">
        <v>0.1684918975423893</v>
      </c>
      <c r="V69" s="3">
        <v>-476572.01996762899</v>
      </c>
      <c r="W69">
        <v>65.892146439724129</v>
      </c>
      <c r="X69">
        <v>53.962491494368237</v>
      </c>
      <c r="Y69">
        <v>25.647813519192631</v>
      </c>
      <c r="Z69" s="5">
        <v>0.32216700482209892</v>
      </c>
      <c r="AA69">
        <v>14.45552946540805</v>
      </c>
      <c r="AB69">
        <v>303.44406908480602</v>
      </c>
      <c r="AC69">
        <v>115.29297516324399</v>
      </c>
      <c r="AD69" s="5">
        <v>0.27533502647295549</v>
      </c>
      <c r="AE69">
        <v>81.286919122637556</v>
      </c>
      <c r="AF69">
        <v>30.884804490555581</v>
      </c>
      <c r="AG69">
        <v>6.8705634929527513</v>
      </c>
      <c r="AH69" t="str">
        <f t="shared" si="3"/>
        <v>True</v>
      </c>
      <c r="AI69">
        <v>3</v>
      </c>
    </row>
    <row r="70" spans="1:35" x14ac:dyDescent="0.35">
      <c r="A70" t="s">
        <v>114</v>
      </c>
      <c r="B70" t="s">
        <v>111</v>
      </c>
      <c r="C70" t="s">
        <v>63</v>
      </c>
      <c r="D70" t="s">
        <v>39</v>
      </c>
      <c r="E70" t="s">
        <v>39</v>
      </c>
      <c r="F70" t="s">
        <v>39</v>
      </c>
      <c r="G70" t="s">
        <v>35</v>
      </c>
      <c r="H70" t="s">
        <v>35</v>
      </c>
      <c r="I70" t="s">
        <v>35</v>
      </c>
      <c r="J70" t="s">
        <v>35</v>
      </c>
      <c r="K70" t="s">
        <v>35</v>
      </c>
      <c r="L70" t="s">
        <v>37</v>
      </c>
      <c r="M70" t="s">
        <v>35</v>
      </c>
      <c r="N70" t="s">
        <v>35</v>
      </c>
      <c r="O70" t="str">
        <f t="shared" si="4"/>
        <v>False</v>
      </c>
      <c r="P70" s="3">
        <v>182773.8</v>
      </c>
      <c r="Q70" s="3">
        <v>26102.76109954837</v>
      </c>
      <c r="R70" s="3">
        <v>1145.630151478799</v>
      </c>
      <c r="S70" s="3">
        <v>20501.740207269399</v>
      </c>
      <c r="T70" s="3">
        <v>106.3226040307752</v>
      </c>
      <c r="U70">
        <v>7.5265948089036902E-2</v>
      </c>
      <c r="V70" s="3">
        <v>-157734.7448898085</v>
      </c>
      <c r="W70">
        <v>145.9909722596575</v>
      </c>
      <c r="X70">
        <v>76.567221634972839</v>
      </c>
      <c r="Y70">
        <v>3.0430833785880371</v>
      </c>
      <c r="Z70" s="5">
        <v>3.8224742111836803E-2</v>
      </c>
      <c r="AA70">
        <v>20.510908554774399</v>
      </c>
      <c r="AB70">
        <v>404.98040090521403</v>
      </c>
      <c r="AC70">
        <v>13.756643342836011</v>
      </c>
      <c r="AD70" s="5">
        <v>3.2852702028165599E-2</v>
      </c>
      <c r="AE70">
        <v>108.48657940134311</v>
      </c>
      <c r="AF70">
        <v>3.6851442118499902</v>
      </c>
      <c r="AG70">
        <v>0.81518440358639666</v>
      </c>
      <c r="AH70" t="str">
        <f t="shared" si="3"/>
        <v>False</v>
      </c>
      <c r="AI70">
        <v>7</v>
      </c>
    </row>
    <row r="71" spans="1:35" x14ac:dyDescent="0.35">
      <c r="A71" t="s">
        <v>115</v>
      </c>
      <c r="B71" t="s">
        <v>111</v>
      </c>
      <c r="C71" t="s">
        <v>63</v>
      </c>
      <c r="D71" t="s">
        <v>39</v>
      </c>
      <c r="E71" t="s">
        <v>39</v>
      </c>
      <c r="F71" t="s">
        <v>39</v>
      </c>
      <c r="G71" t="s">
        <v>35</v>
      </c>
      <c r="H71" t="s">
        <v>35</v>
      </c>
      <c r="I71" t="s">
        <v>35</v>
      </c>
      <c r="J71" t="s">
        <v>35</v>
      </c>
      <c r="K71" t="s">
        <v>37</v>
      </c>
      <c r="L71" t="s">
        <v>35</v>
      </c>
      <c r="M71" t="s">
        <v>35</v>
      </c>
      <c r="N71" t="s">
        <v>35</v>
      </c>
      <c r="O71" t="str">
        <f t="shared" si="4"/>
        <v>False</v>
      </c>
      <c r="P71" s="3">
        <v>143352</v>
      </c>
      <c r="Q71" s="3">
        <v>22073.78826910146</v>
      </c>
      <c r="R71" s="3">
        <v>5174.6029819257074</v>
      </c>
      <c r="S71" s="3">
        <v>20131.201113748819</v>
      </c>
      <c r="T71" s="3">
        <v>476.86169755136041</v>
      </c>
      <c r="U71">
        <v>0.43333298983266338</v>
      </c>
      <c r="V71" s="3">
        <v>-30322.70641045865</v>
      </c>
      <c r="W71">
        <v>25.365459775511582</v>
      </c>
      <c r="X71">
        <v>65.866602253345746</v>
      </c>
      <c r="Y71">
        <v>13.743702760215131</v>
      </c>
      <c r="Z71" s="5">
        <v>0.17263723280389409</v>
      </c>
      <c r="AA71">
        <v>17.644415283510781</v>
      </c>
      <c r="AB71">
        <v>356.61789348955801</v>
      </c>
      <c r="AC71">
        <v>62.119150758491969</v>
      </c>
      <c r="AD71" s="5">
        <v>0.14834883039794791</v>
      </c>
      <c r="AE71">
        <v>95.531179611454064</v>
      </c>
      <c r="AF71">
        <v>16.64054400173908</v>
      </c>
      <c r="AG71">
        <v>3.6816776748500182</v>
      </c>
      <c r="AH71" t="str">
        <f t="shared" si="3"/>
        <v>False</v>
      </c>
      <c r="AI71">
        <v>4</v>
      </c>
    </row>
    <row r="72" spans="1:35" x14ac:dyDescent="0.35">
      <c r="A72" t="s">
        <v>116</v>
      </c>
      <c r="B72" t="s">
        <v>111</v>
      </c>
      <c r="C72" t="s">
        <v>63</v>
      </c>
      <c r="D72" t="s">
        <v>39</v>
      </c>
      <c r="E72" t="s">
        <v>39</v>
      </c>
      <c r="F72" t="s">
        <v>39</v>
      </c>
      <c r="G72" t="s">
        <v>35</v>
      </c>
      <c r="H72" t="s">
        <v>35</v>
      </c>
      <c r="I72" t="s">
        <v>35</v>
      </c>
      <c r="J72" t="s">
        <v>35</v>
      </c>
      <c r="K72" t="s">
        <v>35</v>
      </c>
      <c r="L72" t="s">
        <v>35</v>
      </c>
      <c r="M72" t="s">
        <v>35</v>
      </c>
      <c r="N72" t="s">
        <v>37</v>
      </c>
      <c r="O72" t="str">
        <f t="shared" si="4"/>
        <v>False</v>
      </c>
      <c r="P72" s="3">
        <v>24731.48</v>
      </c>
      <c r="Q72" s="3">
        <v>24268.72854444171</v>
      </c>
      <c r="R72" s="3">
        <v>2979.6627065854618</v>
      </c>
      <c r="S72" s="3">
        <v>20608.062810715379</v>
      </c>
      <c r="T72" s="3">
        <v>5.8479511011455543E-7</v>
      </c>
      <c r="U72">
        <v>1.390106910537583</v>
      </c>
      <c r="V72" s="3">
        <v>34861.774143405142</v>
      </c>
      <c r="W72">
        <v>8.3000938127950512</v>
      </c>
      <c r="X72">
        <v>71.806180928927517</v>
      </c>
      <c r="Y72">
        <v>7.8041240846333579</v>
      </c>
      <c r="Z72" s="5">
        <v>9.8029069016931897E-2</v>
      </c>
      <c r="AA72">
        <v>19.23551591988414</v>
      </c>
      <c r="AB72">
        <v>384.35764299222802</v>
      </c>
      <c r="AC72">
        <v>34.379401255822017</v>
      </c>
      <c r="AD72" s="5">
        <v>8.2102602881861206E-2</v>
      </c>
      <c r="AE72">
        <v>102.9621331348052</v>
      </c>
      <c r="AF72">
        <v>9.2095904783878968</v>
      </c>
      <c r="AG72">
        <v>2.0905770384766562</v>
      </c>
      <c r="AH72" t="str">
        <f t="shared" si="3"/>
        <v>False</v>
      </c>
      <c r="AI72">
        <v>0</v>
      </c>
    </row>
    <row r="73" spans="1:35" x14ac:dyDescent="0.35">
      <c r="A73" t="s">
        <v>117</v>
      </c>
      <c r="B73" t="s">
        <v>111</v>
      </c>
      <c r="C73" t="s">
        <v>63</v>
      </c>
      <c r="D73" t="s">
        <v>39</v>
      </c>
      <c r="E73" t="s">
        <v>39</v>
      </c>
      <c r="F73" t="s">
        <v>39</v>
      </c>
      <c r="G73" t="s">
        <v>35</v>
      </c>
      <c r="H73" t="s">
        <v>35</v>
      </c>
      <c r="I73" t="s">
        <v>35</v>
      </c>
      <c r="J73" t="s">
        <v>37</v>
      </c>
      <c r="K73" t="s">
        <v>35</v>
      </c>
      <c r="L73" t="s">
        <v>35</v>
      </c>
      <c r="M73" t="s">
        <v>35</v>
      </c>
      <c r="N73" t="s">
        <v>35</v>
      </c>
      <c r="O73" t="str">
        <f t="shared" si="4"/>
        <v>False</v>
      </c>
      <c r="P73" s="3">
        <v>665613.44999999995</v>
      </c>
      <c r="Q73" s="3">
        <v>19718.74594748818</v>
      </c>
      <c r="R73" s="3">
        <v>7529.6453035389823</v>
      </c>
      <c r="S73" s="3">
        <v>19909.217278177279</v>
      </c>
      <c r="T73" s="3">
        <v>698.84553312290063</v>
      </c>
      <c r="U73">
        <v>0.13583805991097531</v>
      </c>
      <c r="V73" s="3">
        <v>-501043.63326676219</v>
      </c>
      <c r="W73">
        <v>80.891315699638625</v>
      </c>
      <c r="X73">
        <v>59.609646644509837</v>
      </c>
      <c r="Y73">
        <v>20.000658369051031</v>
      </c>
      <c r="Z73" s="5">
        <v>0.25123202788438143</v>
      </c>
      <c r="AA73">
        <v>15.96829537758099</v>
      </c>
      <c r="AB73">
        <v>328.32140454939901</v>
      </c>
      <c r="AC73">
        <v>90.415639698650978</v>
      </c>
      <c r="AD73" s="5">
        <v>0.2159246260645879</v>
      </c>
      <c r="AE73">
        <v>87.951086136994107</v>
      </c>
      <c r="AF73">
        <v>24.22063747619903</v>
      </c>
      <c r="AG73">
        <v>5.3577975807798079</v>
      </c>
      <c r="AH73" t="str">
        <f t="shared" si="3"/>
        <v>True</v>
      </c>
      <c r="AI73">
        <v>3</v>
      </c>
    </row>
    <row r="74" spans="1:35" x14ac:dyDescent="0.35">
      <c r="A74" t="s">
        <v>118</v>
      </c>
      <c r="B74" t="s">
        <v>111</v>
      </c>
      <c r="C74" t="s">
        <v>63</v>
      </c>
      <c r="D74" t="s">
        <v>39</v>
      </c>
      <c r="E74" t="s">
        <v>39</v>
      </c>
      <c r="F74" t="s">
        <v>39</v>
      </c>
      <c r="G74" t="s">
        <v>35</v>
      </c>
      <c r="H74" t="s">
        <v>35</v>
      </c>
      <c r="I74" t="s">
        <v>35</v>
      </c>
      <c r="J74" t="s">
        <v>35</v>
      </c>
      <c r="K74" t="s">
        <v>35</v>
      </c>
      <c r="L74" t="s">
        <v>35</v>
      </c>
      <c r="M74" t="s">
        <v>37</v>
      </c>
      <c r="N74" t="s">
        <v>35</v>
      </c>
      <c r="O74" t="str">
        <f t="shared" si="4"/>
        <v>False</v>
      </c>
      <c r="P74" s="3">
        <v>354150</v>
      </c>
      <c r="Q74" s="3">
        <v>22610.109648082231</v>
      </c>
      <c r="R74" s="3">
        <v>4638.2816029449341</v>
      </c>
      <c r="S74" s="3">
        <v>21671.496157551261</v>
      </c>
      <c r="T74" s="3">
        <v>-1063.4333462510849</v>
      </c>
      <c r="U74">
        <v>0.13590880392788091</v>
      </c>
      <c r="V74" s="3">
        <v>-282653.03486612299</v>
      </c>
      <c r="W74">
        <v>99.067142035150582</v>
      </c>
      <c r="X74">
        <v>67.887415702142079</v>
      </c>
      <c r="Y74">
        <v>11.7228893114188</v>
      </c>
      <c r="Z74" s="5">
        <v>0.14725341536402739</v>
      </c>
      <c r="AA74">
        <v>18.185752933871441</v>
      </c>
      <c r="AB74">
        <v>370.60494133699098</v>
      </c>
      <c r="AC74">
        <v>48.132102911059008</v>
      </c>
      <c r="AD74" s="5">
        <v>0.1149458916334775</v>
      </c>
      <c r="AE74">
        <v>99.278044826410635</v>
      </c>
      <c r="AF74">
        <v>12.89367878678248</v>
      </c>
      <c r="AG74">
        <v>3.1403400244893618</v>
      </c>
      <c r="AH74" t="str">
        <f t="shared" si="3"/>
        <v>False</v>
      </c>
      <c r="AI74">
        <v>3</v>
      </c>
    </row>
    <row r="75" spans="1:35" x14ac:dyDescent="0.35">
      <c r="A75" t="s">
        <v>119</v>
      </c>
      <c r="B75" t="s">
        <v>111</v>
      </c>
      <c r="C75" t="s">
        <v>63</v>
      </c>
      <c r="D75" t="s">
        <v>52</v>
      </c>
      <c r="E75" t="s">
        <v>52</v>
      </c>
      <c r="F75" t="s">
        <v>52</v>
      </c>
      <c r="G75" t="s">
        <v>35</v>
      </c>
      <c r="H75" t="s">
        <v>37</v>
      </c>
      <c r="I75" t="s">
        <v>35</v>
      </c>
      <c r="J75" t="s">
        <v>35</v>
      </c>
      <c r="K75" t="s">
        <v>37</v>
      </c>
      <c r="L75" t="s">
        <v>37</v>
      </c>
      <c r="M75" t="s">
        <v>35</v>
      </c>
      <c r="N75" t="s">
        <v>35</v>
      </c>
      <c r="O75" t="str">
        <f t="shared" si="4"/>
        <v>True</v>
      </c>
      <c r="P75" s="3">
        <v>592371.18000000005</v>
      </c>
      <c r="Q75" s="3">
        <v>10290.463216913589</v>
      </c>
      <c r="R75" s="3">
        <v>16957.928034113582</v>
      </c>
      <c r="S75" s="3">
        <v>19036.714761354091</v>
      </c>
      <c r="T75" s="3">
        <v>1571.3480499460929</v>
      </c>
      <c r="U75">
        <v>0.34373223159388822</v>
      </c>
      <c r="V75" s="3">
        <v>-221785.65831880661</v>
      </c>
      <c r="W75">
        <v>31.969472380499731</v>
      </c>
      <c r="X75">
        <v>34.566747174177998</v>
      </c>
      <c r="Y75">
        <v>45.043557839382871</v>
      </c>
      <c r="Z75" s="5">
        <v>0.5658005936757825</v>
      </c>
      <c r="AA75">
        <v>9.259776901735334</v>
      </c>
      <c r="AB75">
        <v>215.1199766147451</v>
      </c>
      <c r="AC75">
        <v>203.61706763330491</v>
      </c>
      <c r="AD75" s="5">
        <v>0.48626475834960259</v>
      </c>
      <c r="AE75">
        <v>57.626567536765357</v>
      </c>
      <c r="AF75">
        <v>54.54515607642778</v>
      </c>
      <c r="AG75">
        <v>12.066316056625469</v>
      </c>
      <c r="AH75" t="str">
        <f t="shared" si="3"/>
        <v>False</v>
      </c>
      <c r="AI75">
        <v>7</v>
      </c>
    </row>
    <row r="76" spans="1:35" x14ac:dyDescent="0.35">
      <c r="A76" t="s">
        <v>120</v>
      </c>
      <c r="B76" t="s">
        <v>111</v>
      </c>
      <c r="C76" t="s">
        <v>63</v>
      </c>
      <c r="D76" t="s">
        <v>52</v>
      </c>
      <c r="E76" t="s">
        <v>77</v>
      </c>
      <c r="F76" t="s">
        <v>52</v>
      </c>
      <c r="G76" t="s">
        <v>35</v>
      </c>
      <c r="H76" t="s">
        <v>37</v>
      </c>
      <c r="I76" t="s">
        <v>35</v>
      </c>
      <c r="J76" t="s">
        <v>37</v>
      </c>
      <c r="K76" t="s">
        <v>37</v>
      </c>
      <c r="L76" t="s">
        <v>37</v>
      </c>
      <c r="M76" t="s">
        <v>35</v>
      </c>
      <c r="N76" t="s">
        <v>35</v>
      </c>
      <c r="O76" t="str">
        <f t="shared" si="4"/>
        <v>True</v>
      </c>
      <c r="P76" s="3">
        <v>1257984.6299999999</v>
      </c>
      <c r="Q76" s="3">
        <v>4734.0305849109318</v>
      </c>
      <c r="R76" s="3">
        <v>22514.36066611623</v>
      </c>
      <c r="S76" s="3">
        <v>18518.308171451161</v>
      </c>
      <c r="T76" s="3">
        <v>2089.7546398490208</v>
      </c>
      <c r="U76">
        <v>0.21490892902583969</v>
      </c>
      <c r="V76" s="3">
        <v>-765902.32388069481</v>
      </c>
      <c r="W76">
        <v>51.129033267658357</v>
      </c>
      <c r="X76">
        <v>19.806364952840092</v>
      </c>
      <c r="Y76">
        <v>59.803940060720791</v>
      </c>
      <c r="Z76" s="5">
        <v>0.75120852822425122</v>
      </c>
      <c r="AA76">
        <v>5.3057500543370182</v>
      </c>
      <c r="AB76">
        <v>148.38491468378271</v>
      </c>
      <c r="AC76">
        <v>270.35212956426727</v>
      </c>
      <c r="AD76" s="5">
        <v>0.645637001258759</v>
      </c>
      <c r="AE76">
        <v>39.74950835354479</v>
      </c>
      <c r="AF76">
        <v>72.422215259648354</v>
      </c>
      <c r="AG76">
        <v>16.020342904023781</v>
      </c>
      <c r="AH76" t="str">
        <f t="shared" si="3"/>
        <v>True</v>
      </c>
      <c r="AI76">
        <v>7</v>
      </c>
    </row>
    <row r="77" spans="1:35" x14ac:dyDescent="0.35">
      <c r="A77" t="s">
        <v>121</v>
      </c>
      <c r="B77" t="s">
        <v>111</v>
      </c>
      <c r="C77" t="s">
        <v>63</v>
      </c>
      <c r="D77" t="s">
        <v>52</v>
      </c>
      <c r="E77" t="s">
        <v>52</v>
      </c>
      <c r="F77" t="s">
        <v>52</v>
      </c>
      <c r="G77" t="s">
        <v>35</v>
      </c>
      <c r="H77" t="s">
        <v>37</v>
      </c>
      <c r="I77" t="s">
        <v>35</v>
      </c>
      <c r="J77" t="s">
        <v>35</v>
      </c>
      <c r="K77" t="s">
        <v>37</v>
      </c>
      <c r="L77" t="s">
        <v>37</v>
      </c>
      <c r="M77" t="s">
        <v>35</v>
      </c>
      <c r="N77" t="s">
        <v>37</v>
      </c>
      <c r="O77" t="str">
        <f t="shared" si="4"/>
        <v>True</v>
      </c>
      <c r="P77" s="3">
        <v>605765.57999999996</v>
      </c>
      <c r="Q77" s="3">
        <v>9167.4661805903943</v>
      </c>
      <c r="R77" s="3">
        <v>18080.92507043677</v>
      </c>
      <c r="S77" s="3">
        <v>19036.69389349113</v>
      </c>
      <c r="T77" s="3">
        <v>1571.368917809049</v>
      </c>
      <c r="U77">
        <v>0.35752168859196898</v>
      </c>
      <c r="V77" s="3">
        <v>-212719.7002350835</v>
      </c>
      <c r="W77">
        <v>30.82416639819823</v>
      </c>
      <c r="X77">
        <v>31.6254635617119</v>
      </c>
      <c r="Y77">
        <v>47.984841451848979</v>
      </c>
      <c r="Z77" s="5">
        <v>0.60274660979725181</v>
      </c>
      <c r="AA77">
        <v>8.4718627274877836</v>
      </c>
      <c r="AB77">
        <v>202.16271119555651</v>
      </c>
      <c r="AC77">
        <v>216.5743330524935</v>
      </c>
      <c r="AD77" s="5">
        <v>0.51720843910862579</v>
      </c>
      <c r="AE77">
        <v>54.155561531089333</v>
      </c>
      <c r="AF77">
        <v>58.016162082103797</v>
      </c>
      <c r="AG77">
        <v>12.85423023087302</v>
      </c>
      <c r="AH77" t="str">
        <f t="shared" si="3"/>
        <v>False</v>
      </c>
      <c r="AI77">
        <v>7</v>
      </c>
    </row>
    <row r="78" spans="1:35" x14ac:dyDescent="0.35">
      <c r="A78" t="s">
        <v>122</v>
      </c>
      <c r="B78" t="s">
        <v>123</v>
      </c>
      <c r="C78" t="s">
        <v>63</v>
      </c>
      <c r="D78" t="s">
        <v>39</v>
      </c>
      <c r="E78" t="s">
        <v>39</v>
      </c>
      <c r="F78" t="s">
        <v>39</v>
      </c>
      <c r="G78" t="s">
        <v>35</v>
      </c>
      <c r="H78" t="s">
        <v>35</v>
      </c>
      <c r="I78" t="s">
        <v>35</v>
      </c>
      <c r="J78" t="s">
        <v>35</v>
      </c>
      <c r="K78" t="s">
        <v>35</v>
      </c>
      <c r="L78" t="s">
        <v>35</v>
      </c>
      <c r="M78" t="s">
        <v>35</v>
      </c>
      <c r="N78" t="s">
        <v>35</v>
      </c>
      <c r="O78" t="str">
        <f t="shared" si="4"/>
        <v>False</v>
      </c>
      <c r="P78" s="3">
        <v>0</v>
      </c>
      <c r="Q78" s="3">
        <v>73529.477738825022</v>
      </c>
      <c r="R78" s="3">
        <v>0</v>
      </c>
      <c r="S78" s="3">
        <v>31706.66824062778</v>
      </c>
      <c r="T78" s="3">
        <v>0</v>
      </c>
      <c r="U78">
        <v>0</v>
      </c>
      <c r="V78" s="3">
        <v>0</v>
      </c>
      <c r="W78">
        <v>0</v>
      </c>
      <c r="X78">
        <v>205.26593078665471</v>
      </c>
      <c r="Y78">
        <v>-2.8421709430404007E-14</v>
      </c>
      <c r="Z78" s="5">
        <v>-1.3846286776125751E-16</v>
      </c>
      <c r="AA78">
        <v>29.04569559737579</v>
      </c>
      <c r="AB78">
        <v>1008.92451302018</v>
      </c>
      <c r="AC78">
        <v>0</v>
      </c>
      <c r="AD78" s="5">
        <v>0</v>
      </c>
      <c r="AE78">
        <v>142.76560252160459</v>
      </c>
      <c r="AF78">
        <v>0</v>
      </c>
      <c r="AG78">
        <v>-3.5527136788005009E-15</v>
      </c>
      <c r="AH78" t="str">
        <f t="shared" si="3"/>
        <v>False</v>
      </c>
      <c r="AI78">
        <v>0</v>
      </c>
    </row>
    <row r="79" spans="1:35" x14ac:dyDescent="0.35">
      <c r="A79" t="s">
        <v>124</v>
      </c>
      <c r="B79" t="s">
        <v>123</v>
      </c>
      <c r="C79" t="s">
        <v>63</v>
      </c>
      <c r="D79" t="s">
        <v>39</v>
      </c>
      <c r="E79" t="s">
        <v>39</v>
      </c>
      <c r="F79" t="s">
        <v>39</v>
      </c>
      <c r="G79" t="s">
        <v>35</v>
      </c>
      <c r="H79" t="s">
        <v>37</v>
      </c>
      <c r="I79" t="s">
        <v>35</v>
      </c>
      <c r="J79" t="s">
        <v>35</v>
      </c>
      <c r="K79" t="s">
        <v>35</v>
      </c>
      <c r="L79" t="s">
        <v>35</v>
      </c>
      <c r="M79" t="s">
        <v>35</v>
      </c>
      <c r="N79" t="s">
        <v>35</v>
      </c>
      <c r="O79" t="str">
        <f t="shared" si="4"/>
        <v>False</v>
      </c>
      <c r="P79" s="3">
        <v>439955.14500000002</v>
      </c>
      <c r="Q79" s="3">
        <v>44810.421708810318</v>
      </c>
      <c r="R79" s="3">
        <v>28719.056030014712</v>
      </c>
      <c r="S79" s="3">
        <v>29034.195560202039</v>
      </c>
      <c r="T79" s="3">
        <v>2672.4726804257448</v>
      </c>
      <c r="U79">
        <v>0.78392647507936086</v>
      </c>
      <c r="V79" s="3">
        <v>187875.42920880899</v>
      </c>
      <c r="W79">
        <v>14.015091429863251</v>
      </c>
      <c r="X79">
        <v>128.9779995336452</v>
      </c>
      <c r="Y79">
        <v>76.287931253009532</v>
      </c>
      <c r="Z79" s="5">
        <v>0.37165413159722149</v>
      </c>
      <c r="AA79">
        <v>18.250742823495852</v>
      </c>
      <c r="AB79">
        <v>664.03202700730094</v>
      </c>
      <c r="AC79">
        <v>344.89248601287909</v>
      </c>
      <c r="AD79" s="5">
        <v>0.34184171517495948</v>
      </c>
      <c r="AE79">
        <v>93.962364087632807</v>
      </c>
      <c r="AF79">
        <v>48.803238433971849</v>
      </c>
      <c r="AG79">
        <v>10.79495277387994</v>
      </c>
      <c r="AH79" t="str">
        <f t="shared" si="3"/>
        <v>False</v>
      </c>
      <c r="AI79">
        <v>9</v>
      </c>
    </row>
    <row r="80" spans="1:35" x14ac:dyDescent="0.35">
      <c r="A80" t="s">
        <v>125</v>
      </c>
      <c r="B80" t="s">
        <v>123</v>
      </c>
      <c r="C80" t="s">
        <v>63</v>
      </c>
      <c r="D80" t="s">
        <v>52</v>
      </c>
      <c r="E80" t="s">
        <v>52</v>
      </c>
      <c r="F80" t="s">
        <v>52</v>
      </c>
      <c r="G80" t="s">
        <v>35</v>
      </c>
      <c r="H80" t="s">
        <v>37</v>
      </c>
      <c r="I80" t="s">
        <v>35</v>
      </c>
      <c r="J80" t="s">
        <v>37</v>
      </c>
      <c r="K80" t="s">
        <v>35</v>
      </c>
      <c r="L80" t="s">
        <v>37</v>
      </c>
      <c r="M80" t="s">
        <v>35</v>
      </c>
      <c r="N80" t="s">
        <v>37</v>
      </c>
      <c r="O80" t="str">
        <f t="shared" si="4"/>
        <v>True</v>
      </c>
      <c r="P80" s="3">
        <v>1744077.1875</v>
      </c>
      <c r="Q80" s="3">
        <v>16964.6051488224</v>
      </c>
      <c r="R80" s="3">
        <v>56564.872590002618</v>
      </c>
      <c r="S80" s="3">
        <v>26637.39960668881</v>
      </c>
      <c r="T80" s="3">
        <v>5069.268633938972</v>
      </c>
      <c r="U80">
        <v>0.3889241214994798</v>
      </c>
      <c r="V80" s="3">
        <v>-511394.36302116822</v>
      </c>
      <c r="W80">
        <v>28.297257864972391</v>
      </c>
      <c r="X80">
        <v>55.087466693750713</v>
      </c>
      <c r="Y80">
        <v>150.17846409290399</v>
      </c>
      <c r="Z80" s="5">
        <v>0.73162878767735473</v>
      </c>
      <c r="AA80">
        <v>7.7950285402222592</v>
      </c>
      <c r="AB80">
        <v>330.61082504445898</v>
      </c>
      <c r="AC80">
        <v>678.313687975721</v>
      </c>
      <c r="AD80" s="5">
        <v>0.67231361635293496</v>
      </c>
      <c r="AE80">
        <v>46.782343999498927</v>
      </c>
      <c r="AF80">
        <v>95.9832585221057</v>
      </c>
      <c r="AG80">
        <v>21.250667057153532</v>
      </c>
      <c r="AH80" t="str">
        <f t="shared" si="3"/>
        <v>True</v>
      </c>
      <c r="AI80">
        <v>9</v>
      </c>
    </row>
    <row r="81" spans="1:35" x14ac:dyDescent="0.35">
      <c r="A81" t="s">
        <v>126</v>
      </c>
      <c r="B81" t="s">
        <v>123</v>
      </c>
      <c r="C81" t="s">
        <v>63</v>
      </c>
      <c r="D81" t="s">
        <v>39</v>
      </c>
      <c r="E81" t="s">
        <v>39</v>
      </c>
      <c r="F81" t="s">
        <v>39</v>
      </c>
      <c r="G81" t="s">
        <v>35</v>
      </c>
      <c r="H81" t="s">
        <v>35</v>
      </c>
      <c r="I81" t="s">
        <v>35</v>
      </c>
      <c r="J81" t="s">
        <v>35</v>
      </c>
      <c r="K81" t="s">
        <v>35</v>
      </c>
      <c r="L81" t="s">
        <v>37</v>
      </c>
      <c r="M81" t="s">
        <v>35</v>
      </c>
      <c r="N81" t="s">
        <v>35</v>
      </c>
      <c r="O81" t="str">
        <f t="shared" si="4"/>
        <v>False</v>
      </c>
      <c r="P81" s="3">
        <v>177234.18</v>
      </c>
      <c r="Q81" s="3">
        <v>50276.446409743257</v>
      </c>
      <c r="R81" s="3">
        <v>23253.031329081761</v>
      </c>
      <c r="S81" s="3">
        <v>29543.079817424401</v>
      </c>
      <c r="T81" s="3">
        <v>2163.5884232033818</v>
      </c>
      <c r="U81">
        <v>1.5755920598368951</v>
      </c>
      <c r="V81" s="3">
        <v>331098.21504570288</v>
      </c>
      <c r="W81">
        <v>6.9731609367160363</v>
      </c>
      <c r="X81">
        <v>143.4977826943832</v>
      </c>
      <c r="Y81">
        <v>61.768148092271531</v>
      </c>
      <c r="Z81" s="5">
        <v>0.30091768203107649</v>
      </c>
      <c r="AA81">
        <v>20.305332205233221</v>
      </c>
      <c r="AB81">
        <v>729.67574628047703</v>
      </c>
      <c r="AC81">
        <v>279.248766739703</v>
      </c>
      <c r="AD81" s="5">
        <v>0.27677865205572377</v>
      </c>
      <c r="AE81">
        <v>103.25113149575169</v>
      </c>
      <c r="AF81">
        <v>39.514471025852977</v>
      </c>
      <c r="AG81">
        <v>8.7403633921425694</v>
      </c>
      <c r="AH81" t="str">
        <f t="shared" si="3"/>
        <v>False</v>
      </c>
      <c r="AI81">
        <v>6</v>
      </c>
    </row>
    <row r="82" spans="1:35" x14ac:dyDescent="0.35">
      <c r="A82" t="s">
        <v>127</v>
      </c>
      <c r="B82" t="s">
        <v>123</v>
      </c>
      <c r="C82" t="s">
        <v>63</v>
      </c>
      <c r="D82" t="s">
        <v>39</v>
      </c>
      <c r="E82" t="s">
        <v>39</v>
      </c>
      <c r="F82" t="s">
        <v>39</v>
      </c>
      <c r="G82" t="s">
        <v>35</v>
      </c>
      <c r="H82" t="s">
        <v>35</v>
      </c>
      <c r="I82" t="s">
        <v>35</v>
      </c>
      <c r="J82" t="s">
        <v>35</v>
      </c>
      <c r="K82" t="s">
        <v>35</v>
      </c>
      <c r="L82" t="s">
        <v>35</v>
      </c>
      <c r="M82" t="s">
        <v>35</v>
      </c>
      <c r="N82" t="s">
        <v>37</v>
      </c>
      <c r="O82" t="str">
        <f t="shared" si="4"/>
        <v>False</v>
      </c>
      <c r="P82" s="3">
        <v>79350</v>
      </c>
      <c r="Q82" s="3">
        <v>65505.483403657869</v>
      </c>
      <c r="R82" s="3">
        <v>8023.9943351671573</v>
      </c>
      <c r="S82" s="3">
        <v>31706.668226155769</v>
      </c>
      <c r="T82" s="3">
        <v>1.447200972393148E-5</v>
      </c>
      <c r="U82">
        <v>1.1667421460259371</v>
      </c>
      <c r="V82" s="3">
        <v>81129.886992783344</v>
      </c>
      <c r="W82">
        <v>9.8890897154692432</v>
      </c>
      <c r="X82">
        <v>184.25004622931471</v>
      </c>
      <c r="Y82">
        <v>21.015884557340001</v>
      </c>
      <c r="Z82" s="5">
        <v>0.1023836955153706</v>
      </c>
      <c r="AA82">
        <v>26.07188994330193</v>
      </c>
      <c r="AB82">
        <v>916.34352373302204</v>
      </c>
      <c r="AC82">
        <v>92.580989287158104</v>
      </c>
      <c r="AD82" s="5">
        <v>9.1762057609265701E-2</v>
      </c>
      <c r="AE82">
        <v>129.66513707839559</v>
      </c>
      <c r="AF82">
        <v>13.10046544320902</v>
      </c>
      <c r="AG82">
        <v>2.973805654073864</v>
      </c>
      <c r="AH82" t="str">
        <f t="shared" si="3"/>
        <v>False</v>
      </c>
      <c r="AI82">
        <v>0</v>
      </c>
    </row>
    <row r="83" spans="1:35" x14ac:dyDescent="0.35">
      <c r="A83" t="s">
        <v>128</v>
      </c>
      <c r="B83" t="s">
        <v>123</v>
      </c>
      <c r="C83" t="s">
        <v>63</v>
      </c>
      <c r="D83" t="s">
        <v>39</v>
      </c>
      <c r="E83" t="s">
        <v>39</v>
      </c>
      <c r="F83" t="s">
        <v>39</v>
      </c>
      <c r="G83" t="s">
        <v>35</v>
      </c>
      <c r="H83" t="s">
        <v>35</v>
      </c>
      <c r="I83" t="s">
        <v>35</v>
      </c>
      <c r="J83" t="s">
        <v>37</v>
      </c>
      <c r="K83" t="s">
        <v>35</v>
      </c>
      <c r="L83" t="s">
        <v>35</v>
      </c>
      <c r="M83" t="s">
        <v>35</v>
      </c>
      <c r="N83" t="s">
        <v>35</v>
      </c>
      <c r="O83" t="str">
        <f t="shared" si="4"/>
        <v>False</v>
      </c>
      <c r="P83" s="3">
        <v>1099887.8625</v>
      </c>
      <c r="Q83" s="3">
        <v>66020.677978556021</v>
      </c>
      <c r="R83" s="3">
        <v>7508.7997602690011</v>
      </c>
      <c r="S83" s="3">
        <v>31007.236568125099</v>
      </c>
      <c r="T83" s="3">
        <v>699.43167250268357</v>
      </c>
      <c r="U83">
        <v>8.1988441111954594E-2</v>
      </c>
      <c r="V83" s="3">
        <v>-935723.23384456639</v>
      </c>
      <c r="W83">
        <v>133.99815435376919</v>
      </c>
      <c r="X83">
        <v>185.319635150294</v>
      </c>
      <c r="Y83">
        <v>19.94629563636073</v>
      </c>
      <c r="Z83" s="5">
        <v>9.7172948086997002E-2</v>
      </c>
      <c r="AA83">
        <v>26.223239726941269</v>
      </c>
      <c r="AB83">
        <v>918.74642177584519</v>
      </c>
      <c r="AC83">
        <v>90.178091244334965</v>
      </c>
      <c r="AD83" s="5">
        <v>8.9380414570749203E-2</v>
      </c>
      <c r="AE83">
        <v>130.00515378178079</v>
      </c>
      <c r="AF83">
        <v>12.76044873982382</v>
      </c>
      <c r="AG83">
        <v>2.8224558704345171</v>
      </c>
      <c r="AH83" t="str">
        <f t="shared" si="3"/>
        <v>True</v>
      </c>
      <c r="AI83">
        <v>5</v>
      </c>
    </row>
    <row r="84" spans="1:35" x14ac:dyDescent="0.35">
      <c r="A84" t="s">
        <v>129</v>
      </c>
      <c r="B84" t="s">
        <v>123</v>
      </c>
      <c r="C84" t="s">
        <v>63</v>
      </c>
      <c r="D84" t="s">
        <v>39</v>
      </c>
      <c r="E84" t="s">
        <v>39</v>
      </c>
      <c r="F84" t="s">
        <v>39</v>
      </c>
      <c r="G84" t="s">
        <v>35</v>
      </c>
      <c r="H84" t="s">
        <v>35</v>
      </c>
      <c r="I84" t="s">
        <v>35</v>
      </c>
      <c r="J84" t="s">
        <v>35</v>
      </c>
      <c r="K84" t="s">
        <v>35</v>
      </c>
      <c r="L84" t="s">
        <v>35</v>
      </c>
      <c r="M84" t="s">
        <v>37</v>
      </c>
      <c r="N84" t="s">
        <v>35</v>
      </c>
      <c r="O84" t="str">
        <f t="shared" si="4"/>
        <v>False</v>
      </c>
      <c r="P84" s="3">
        <v>667250</v>
      </c>
      <c r="Q84" s="3">
        <v>61272.399179159227</v>
      </c>
      <c r="R84" s="3">
        <v>12257.078559665801</v>
      </c>
      <c r="S84" s="3">
        <v>33931.300118664243</v>
      </c>
      <c r="T84" s="3">
        <v>-2224.6318780364618</v>
      </c>
      <c r="U84">
        <v>0.19506696341067209</v>
      </c>
      <c r="V84" s="3">
        <v>-466601.06636741321</v>
      </c>
      <c r="W84">
        <v>66.509199717135601</v>
      </c>
      <c r="X84">
        <v>174.0529009597669</v>
      </c>
      <c r="Y84">
        <v>31.213029826887809</v>
      </c>
      <c r="Z84" s="5">
        <v>0.15206142445201681</v>
      </c>
      <c r="AA84">
        <v>24.62896575063915</v>
      </c>
      <c r="AB84">
        <v>878.76608168440907</v>
      </c>
      <c r="AC84">
        <v>130.15843133577101</v>
      </c>
      <c r="AD84" s="5">
        <v>0.12900710574089061</v>
      </c>
      <c r="AE84">
        <v>124.347825340938</v>
      </c>
      <c r="AF84">
        <v>18.417777180666619</v>
      </c>
      <c r="AG84">
        <v>4.4167298467366356</v>
      </c>
      <c r="AH84" t="str">
        <f t="shared" si="3"/>
        <v>False</v>
      </c>
      <c r="AI84">
        <v>0</v>
      </c>
    </row>
    <row r="85" spans="1:35" x14ac:dyDescent="0.35">
      <c r="A85" t="s">
        <v>130</v>
      </c>
      <c r="B85" t="s">
        <v>123</v>
      </c>
      <c r="C85" t="s">
        <v>63</v>
      </c>
      <c r="D85" t="s">
        <v>52</v>
      </c>
      <c r="E85" t="s">
        <v>52</v>
      </c>
      <c r="F85" t="s">
        <v>52</v>
      </c>
      <c r="G85" t="s">
        <v>35</v>
      </c>
      <c r="H85" t="s">
        <v>37</v>
      </c>
      <c r="I85" t="s">
        <v>35</v>
      </c>
      <c r="J85" t="s">
        <v>35</v>
      </c>
      <c r="K85" t="s">
        <v>35</v>
      </c>
      <c r="L85" t="s">
        <v>37</v>
      </c>
      <c r="M85" t="s">
        <v>35</v>
      </c>
      <c r="N85" t="s">
        <v>35</v>
      </c>
      <c r="O85" t="str">
        <f t="shared" si="4"/>
        <v>True</v>
      </c>
      <c r="P85" s="3">
        <v>617189.32499999995</v>
      </c>
      <c r="Q85" s="3">
        <v>24512.354006952661</v>
      </c>
      <c r="R85" s="3">
        <v>49017.123731872372</v>
      </c>
      <c r="S85" s="3">
        <v>27147.538398641522</v>
      </c>
      <c r="T85" s="3">
        <v>4559.1298419862615</v>
      </c>
      <c r="U85">
        <v>0.95375053078405736</v>
      </c>
      <c r="V85" s="3">
        <v>454335.74647717248</v>
      </c>
      <c r="W85">
        <v>11.51982984680258</v>
      </c>
      <c r="X85">
        <v>75.060057929876066</v>
      </c>
      <c r="Y85">
        <v>130.2058728567786</v>
      </c>
      <c r="Z85" s="5">
        <v>0.63432773455283942</v>
      </c>
      <c r="AA85">
        <v>10.62120531058102</v>
      </c>
      <c r="AB85">
        <v>420.27986670717598</v>
      </c>
      <c r="AC85">
        <v>588.64464631300405</v>
      </c>
      <c r="AD85" s="5">
        <v>0.58343774852978547</v>
      </c>
      <c r="AE85">
        <v>59.470760818901368</v>
      </c>
      <c r="AF85">
        <v>83.29484170270328</v>
      </c>
      <c r="AG85">
        <v>18.424490286794772</v>
      </c>
      <c r="AH85" t="str">
        <f t="shared" si="3"/>
        <v>False</v>
      </c>
      <c r="AI85">
        <v>9</v>
      </c>
    </row>
    <row r="86" spans="1:35" x14ac:dyDescent="0.35">
      <c r="A86" t="s">
        <v>131</v>
      </c>
      <c r="B86" t="s">
        <v>123</v>
      </c>
      <c r="C86" t="s">
        <v>63</v>
      </c>
      <c r="D86" t="s">
        <v>52</v>
      </c>
      <c r="E86" t="s">
        <v>52</v>
      </c>
      <c r="F86" t="s">
        <v>52</v>
      </c>
      <c r="G86" t="s">
        <v>35</v>
      </c>
      <c r="H86" t="s">
        <v>37</v>
      </c>
      <c r="I86" t="s">
        <v>35</v>
      </c>
      <c r="J86" t="s">
        <v>37</v>
      </c>
      <c r="K86" t="s">
        <v>35</v>
      </c>
      <c r="L86" t="s">
        <v>37</v>
      </c>
      <c r="M86" t="s">
        <v>35</v>
      </c>
      <c r="N86" t="s">
        <v>35</v>
      </c>
      <c r="O86" t="str">
        <f t="shared" si="4"/>
        <v>True</v>
      </c>
      <c r="P86" s="3">
        <v>1717077.1875</v>
      </c>
      <c r="Q86" s="3">
        <v>19041.530619257959</v>
      </c>
      <c r="R86" s="3">
        <v>54487.947119567063</v>
      </c>
      <c r="S86" s="3">
        <v>26637.399638864321</v>
      </c>
      <c r="T86" s="3">
        <v>5069.268601763456</v>
      </c>
      <c r="U86">
        <v>0.38108367497659329</v>
      </c>
      <c r="V86" s="3">
        <v>-525932.87307338975</v>
      </c>
      <c r="W86">
        <v>28.83071625668736</v>
      </c>
      <c r="X86">
        <v>60.527204583497237</v>
      </c>
      <c r="Y86">
        <v>144.73872620315751</v>
      </c>
      <c r="Z86" s="5">
        <v>0.70512785852218784</v>
      </c>
      <c r="AA86">
        <v>8.5647664615108585</v>
      </c>
      <c r="AB86">
        <v>354.57442818920703</v>
      </c>
      <c r="AC86">
        <v>654.35008483097306</v>
      </c>
      <c r="AD86" s="5">
        <v>0.64856198495187622</v>
      </c>
      <c r="AE86">
        <v>50.173259967342148</v>
      </c>
      <c r="AF86">
        <v>92.592342554262501</v>
      </c>
      <c r="AG86">
        <v>20.48092913586493</v>
      </c>
      <c r="AH86" t="str">
        <f t="shared" si="3"/>
        <v>True</v>
      </c>
      <c r="AI86">
        <v>9</v>
      </c>
    </row>
    <row r="87" spans="1:35" x14ac:dyDescent="0.35">
      <c r="A87" t="s">
        <v>132</v>
      </c>
      <c r="B87" t="s">
        <v>123</v>
      </c>
      <c r="C87" t="s">
        <v>63</v>
      </c>
      <c r="D87" t="s">
        <v>52</v>
      </c>
      <c r="E87" t="s">
        <v>52</v>
      </c>
      <c r="F87" t="s">
        <v>52</v>
      </c>
      <c r="G87" t="s">
        <v>35</v>
      </c>
      <c r="H87" t="s">
        <v>37</v>
      </c>
      <c r="I87" t="s">
        <v>35</v>
      </c>
      <c r="J87" t="s">
        <v>35</v>
      </c>
      <c r="K87" t="s">
        <v>35</v>
      </c>
      <c r="L87" t="s">
        <v>37</v>
      </c>
      <c r="M87" t="s">
        <v>35</v>
      </c>
      <c r="N87" t="s">
        <v>37</v>
      </c>
      <c r="O87" t="str">
        <f t="shared" si="4"/>
        <v>True</v>
      </c>
      <c r="P87" s="3">
        <v>646264</v>
      </c>
      <c r="Q87" s="3">
        <v>21839.540947866979</v>
      </c>
      <c r="R87" s="3">
        <v>51689.93679095804</v>
      </c>
      <c r="S87" s="3">
        <v>27147.53841076071</v>
      </c>
      <c r="T87" s="3">
        <v>4559.1298298670717</v>
      </c>
      <c r="U87">
        <v>0.95856122392609999</v>
      </c>
      <c r="V87" s="3">
        <v>478717.33241650229</v>
      </c>
      <c r="W87">
        <v>11.48932842488685</v>
      </c>
      <c r="X87">
        <v>68.059612977847678</v>
      </c>
      <c r="Y87">
        <v>137.206317808807</v>
      </c>
      <c r="Z87" s="5">
        <v>0.66843200565715821</v>
      </c>
      <c r="AA87">
        <v>9.6306230335146008</v>
      </c>
      <c r="AB87">
        <v>389.44090220080301</v>
      </c>
      <c r="AC87">
        <v>619.48361081937708</v>
      </c>
      <c r="AD87" s="5">
        <v>0.61400392479807497</v>
      </c>
      <c r="AE87">
        <v>55.106962247177442</v>
      </c>
      <c r="AF87">
        <v>87.658640274427214</v>
      </c>
      <c r="AG87">
        <v>19.415072563861191</v>
      </c>
      <c r="AH87" t="str">
        <f t="shared" si="3"/>
        <v>False</v>
      </c>
      <c r="AI87">
        <v>9</v>
      </c>
    </row>
    <row r="88" spans="1:35" x14ac:dyDescent="0.35">
      <c r="A88" t="s">
        <v>133</v>
      </c>
      <c r="B88" t="s">
        <v>123</v>
      </c>
      <c r="C88" t="s">
        <v>63</v>
      </c>
      <c r="D88" t="s">
        <v>52</v>
      </c>
      <c r="E88" t="s">
        <v>52</v>
      </c>
      <c r="F88" t="s">
        <v>52</v>
      </c>
      <c r="G88" t="s">
        <v>35</v>
      </c>
      <c r="H88" t="s">
        <v>37</v>
      </c>
      <c r="I88" t="s">
        <v>35</v>
      </c>
      <c r="J88" t="s">
        <v>35</v>
      </c>
      <c r="K88" t="s">
        <v>35</v>
      </c>
      <c r="L88" t="s">
        <v>37</v>
      </c>
      <c r="M88" t="s">
        <v>37</v>
      </c>
      <c r="N88" t="s">
        <v>37</v>
      </c>
      <c r="O88" t="str">
        <f t="shared" si="4"/>
        <v>True</v>
      </c>
      <c r="P88" s="3">
        <v>1305939.325</v>
      </c>
      <c r="Q88" s="3">
        <v>12723.356376087409</v>
      </c>
      <c r="R88" s="3">
        <v>60806.121362737613</v>
      </c>
      <c r="S88" s="3">
        <v>26191.882817761019</v>
      </c>
      <c r="T88" s="3">
        <v>5514.7854228667657</v>
      </c>
      <c r="U88">
        <v>0.55860564033947591</v>
      </c>
      <c r="V88" s="3">
        <v>20478.81071208743</v>
      </c>
      <c r="W88">
        <v>19.691216364422019</v>
      </c>
      <c r="X88">
        <v>43.800877938132942</v>
      </c>
      <c r="Y88">
        <v>161.46505284852179</v>
      </c>
      <c r="Z88" s="5">
        <v>0.78661399010409649</v>
      </c>
      <c r="AA88">
        <v>6.1979450881750306</v>
      </c>
      <c r="AB88">
        <v>279.41944013405202</v>
      </c>
      <c r="AC88">
        <v>729.505072886128</v>
      </c>
      <c r="AD88" s="5">
        <v>0.72305218425348816</v>
      </c>
      <c r="AE88">
        <v>39.538621782093109</v>
      </c>
      <c r="AF88">
        <v>103.2269807395115</v>
      </c>
      <c r="AG88">
        <v>22.847750509200761</v>
      </c>
      <c r="AH88" t="str">
        <f t="shared" si="3"/>
        <v>False</v>
      </c>
      <c r="AI88">
        <v>9</v>
      </c>
    </row>
    <row r="89" spans="1:35" x14ac:dyDescent="0.35">
      <c r="A89" t="s">
        <v>134</v>
      </c>
      <c r="B89" t="s">
        <v>135</v>
      </c>
      <c r="C89" t="s">
        <v>63</v>
      </c>
      <c r="D89" t="s">
        <v>39</v>
      </c>
      <c r="E89" t="s">
        <v>39</v>
      </c>
      <c r="F89" t="s">
        <v>39</v>
      </c>
      <c r="G89" t="s">
        <v>35</v>
      </c>
      <c r="H89" t="s">
        <v>35</v>
      </c>
      <c r="I89" t="s">
        <v>35</v>
      </c>
      <c r="J89" t="s">
        <v>35</v>
      </c>
      <c r="K89" t="s">
        <v>35</v>
      </c>
      <c r="L89" t="s">
        <v>35</v>
      </c>
      <c r="M89" t="s">
        <v>35</v>
      </c>
      <c r="N89" t="s">
        <v>35</v>
      </c>
      <c r="O89" t="str">
        <f t="shared" si="4"/>
        <v>False</v>
      </c>
      <c r="P89" s="3">
        <v>0</v>
      </c>
      <c r="Q89" s="3">
        <v>43496.628785587302</v>
      </c>
      <c r="R89" s="3">
        <v>0</v>
      </c>
      <c r="S89" s="3">
        <v>25605.175118665789</v>
      </c>
      <c r="T89" s="3">
        <v>0</v>
      </c>
      <c r="U89">
        <v>0</v>
      </c>
      <c r="V89" s="3">
        <v>0</v>
      </c>
      <c r="W89">
        <v>0</v>
      </c>
      <c r="X89">
        <v>124.1653968540697</v>
      </c>
      <c r="Y89">
        <v>-2.8421709430404007E-14</v>
      </c>
      <c r="Z89" s="5">
        <v>-2.2890201417233622E-16</v>
      </c>
      <c r="AA89">
        <v>26.41816954341909</v>
      </c>
      <c r="AB89">
        <v>631.51133209705699</v>
      </c>
      <c r="AC89">
        <v>0</v>
      </c>
      <c r="AD89" s="5">
        <v>0</v>
      </c>
      <c r="AE89">
        <v>134.36411321213981</v>
      </c>
      <c r="AF89">
        <v>0</v>
      </c>
      <c r="AG89">
        <v>0</v>
      </c>
      <c r="AH89" t="str">
        <f t="shared" si="3"/>
        <v>False</v>
      </c>
      <c r="AI89">
        <v>0</v>
      </c>
    </row>
    <row r="90" spans="1:35" x14ac:dyDescent="0.35">
      <c r="A90" t="s">
        <v>136</v>
      </c>
      <c r="B90" t="s">
        <v>135</v>
      </c>
      <c r="C90" t="s">
        <v>63</v>
      </c>
      <c r="D90" t="s">
        <v>39</v>
      </c>
      <c r="E90" t="s">
        <v>39</v>
      </c>
      <c r="F90" t="s">
        <v>39</v>
      </c>
      <c r="G90" t="s">
        <v>35</v>
      </c>
      <c r="H90" t="s">
        <v>37</v>
      </c>
      <c r="I90" t="s">
        <v>35</v>
      </c>
      <c r="J90" t="s">
        <v>35</v>
      </c>
      <c r="K90" t="s">
        <v>35</v>
      </c>
      <c r="L90" t="s">
        <v>35</v>
      </c>
      <c r="M90" t="s">
        <v>35</v>
      </c>
      <c r="N90" t="s">
        <v>35</v>
      </c>
      <c r="O90" t="str">
        <f t="shared" si="4"/>
        <v>False</v>
      </c>
      <c r="P90" s="3">
        <v>564869.61900000006</v>
      </c>
      <c r="Q90" s="3">
        <v>39122.202110034479</v>
      </c>
      <c r="R90" s="3">
        <v>4374.4266755528224</v>
      </c>
      <c r="S90" s="3">
        <v>25200.125928165038</v>
      </c>
      <c r="T90" s="3">
        <v>405.04919050075102</v>
      </c>
      <c r="U90">
        <v>9.2982686482480106E-2</v>
      </c>
      <c r="V90" s="3">
        <v>-469280.10167892859</v>
      </c>
      <c r="W90">
        <v>118.1865197838973</v>
      </c>
      <c r="X90">
        <v>112.5461848927593</v>
      </c>
      <c r="Y90">
        <v>11.619211961310359</v>
      </c>
      <c r="Z90" s="5">
        <v>9.3578502994407495E-2</v>
      </c>
      <c r="AA90">
        <v>23.945996785693481</v>
      </c>
      <c r="AB90">
        <v>578.98823741010199</v>
      </c>
      <c r="AC90">
        <v>52.523094686955012</v>
      </c>
      <c r="AD90" s="5">
        <v>8.3170470611416802E-2</v>
      </c>
      <c r="AE90">
        <v>123.18898668300039</v>
      </c>
      <c r="AF90">
        <v>11.17512652913936</v>
      </c>
      <c r="AG90">
        <v>2.472172757725613</v>
      </c>
      <c r="AH90" t="str">
        <f t="shared" si="3"/>
        <v>False</v>
      </c>
      <c r="AI90">
        <v>11</v>
      </c>
    </row>
    <row r="91" spans="1:35" x14ac:dyDescent="0.35">
      <c r="A91" t="s">
        <v>137</v>
      </c>
      <c r="B91" t="s">
        <v>135</v>
      </c>
      <c r="C91" t="s">
        <v>63</v>
      </c>
      <c r="D91" t="s">
        <v>39</v>
      </c>
      <c r="E91" t="s">
        <v>52</v>
      </c>
      <c r="F91" t="s">
        <v>39</v>
      </c>
      <c r="G91" t="s">
        <v>35</v>
      </c>
      <c r="H91" t="s">
        <v>37</v>
      </c>
      <c r="I91" t="s">
        <v>35</v>
      </c>
      <c r="J91" t="s">
        <v>37</v>
      </c>
      <c r="K91" t="s">
        <v>37</v>
      </c>
      <c r="L91" t="s">
        <v>35</v>
      </c>
      <c r="M91" t="s">
        <v>37</v>
      </c>
      <c r="N91" t="s">
        <v>37</v>
      </c>
      <c r="O91" t="str">
        <f t="shared" si="4"/>
        <v>True</v>
      </c>
      <c r="P91" s="3">
        <v>2857616.19</v>
      </c>
      <c r="Q91" s="3">
        <v>22475.5643891662</v>
      </c>
      <c r="R91" s="3">
        <v>21021.064396421101</v>
      </c>
      <c r="S91" s="3">
        <v>23810.745042010982</v>
      </c>
      <c r="T91" s="3">
        <v>1794.430076654817</v>
      </c>
      <c r="U91">
        <v>8.8054910000631606E-2</v>
      </c>
      <c r="V91" s="3">
        <v>-2401306.3005384821</v>
      </c>
      <c r="W91">
        <v>125.24892648599889</v>
      </c>
      <c r="X91">
        <v>68.390723727439294</v>
      </c>
      <c r="Y91">
        <v>55.774673126630397</v>
      </c>
      <c r="Z91" s="5">
        <v>0.44919659212446927</v>
      </c>
      <c r="AA91">
        <v>14.55121781434879</v>
      </c>
      <c r="AB91">
        <v>379.88419567025898</v>
      </c>
      <c r="AC91">
        <v>251.62713642679799</v>
      </c>
      <c r="AD91" s="5">
        <v>0.39845228998697602</v>
      </c>
      <c r="AE91">
        <v>80.826424610693394</v>
      </c>
      <c r="AF91">
        <v>53.537688601446384</v>
      </c>
      <c r="AG91">
        <v>11.866951729070299</v>
      </c>
      <c r="AH91" t="str">
        <f t="shared" si="3"/>
        <v>True</v>
      </c>
      <c r="AI91">
        <v>11</v>
      </c>
    </row>
    <row r="92" spans="1:35" x14ac:dyDescent="0.35">
      <c r="A92" t="s">
        <v>138</v>
      </c>
      <c r="B92" t="s">
        <v>135</v>
      </c>
      <c r="C92" t="s">
        <v>63</v>
      </c>
      <c r="D92" t="s">
        <v>39</v>
      </c>
      <c r="E92" t="s">
        <v>39</v>
      </c>
      <c r="F92" t="s">
        <v>39</v>
      </c>
      <c r="G92" t="s">
        <v>35</v>
      </c>
      <c r="H92" t="s">
        <v>35</v>
      </c>
      <c r="I92" t="s">
        <v>35</v>
      </c>
      <c r="J92" t="s">
        <v>35</v>
      </c>
      <c r="K92" t="s">
        <v>37</v>
      </c>
      <c r="L92" t="s">
        <v>35</v>
      </c>
      <c r="M92" t="s">
        <v>35</v>
      </c>
      <c r="N92" t="s">
        <v>35</v>
      </c>
      <c r="O92" t="str">
        <f t="shared" si="4"/>
        <v>False</v>
      </c>
      <c r="P92" s="3">
        <v>272337.59999999998</v>
      </c>
      <c r="Q92" s="3">
        <v>41290.28747530988</v>
      </c>
      <c r="R92" s="3">
        <v>2206.341310277423</v>
      </c>
      <c r="S92" s="3">
        <v>25402.76082555352</v>
      </c>
      <c r="T92" s="3">
        <v>202.41429311227239</v>
      </c>
      <c r="U92">
        <v>9.7238456012801899E-2</v>
      </c>
      <c r="V92" s="3">
        <v>-224162.4879322061</v>
      </c>
      <c r="W92">
        <v>113.06153252607101</v>
      </c>
      <c r="X92">
        <v>118.30573634701319</v>
      </c>
      <c r="Y92">
        <v>5.8596605070565317</v>
      </c>
      <c r="Z92" s="5">
        <v>4.7192379322423698E-2</v>
      </c>
      <c r="AA92">
        <v>25.171433265321951</v>
      </c>
      <c r="AB92">
        <v>605.02964435882495</v>
      </c>
      <c r="AC92">
        <v>26.48168773823204</v>
      </c>
      <c r="AD92" s="5">
        <v>4.19338282502301E-2</v>
      </c>
      <c r="AE92">
        <v>128.72971156570739</v>
      </c>
      <c r="AF92">
        <v>5.634401646432349</v>
      </c>
      <c r="AG92">
        <v>1.2467362780971381</v>
      </c>
      <c r="AH92" t="str">
        <f t="shared" si="3"/>
        <v>False</v>
      </c>
      <c r="AI92">
        <v>7</v>
      </c>
    </row>
    <row r="93" spans="1:35" x14ac:dyDescent="0.35">
      <c r="A93" t="s">
        <v>139</v>
      </c>
      <c r="B93" t="s">
        <v>135</v>
      </c>
      <c r="C93" t="s">
        <v>63</v>
      </c>
      <c r="D93" t="s">
        <v>39</v>
      </c>
      <c r="E93" t="s">
        <v>39</v>
      </c>
      <c r="F93" t="s">
        <v>39</v>
      </c>
      <c r="G93" t="s">
        <v>35</v>
      </c>
      <c r="H93" t="s">
        <v>35</v>
      </c>
      <c r="I93" t="s">
        <v>35</v>
      </c>
      <c r="J93" t="s">
        <v>37</v>
      </c>
      <c r="K93" t="s">
        <v>35</v>
      </c>
      <c r="L93" t="s">
        <v>35</v>
      </c>
      <c r="M93" t="s">
        <v>35</v>
      </c>
      <c r="N93" t="s">
        <v>35</v>
      </c>
      <c r="O93" t="str">
        <f t="shared" si="4"/>
        <v>False</v>
      </c>
      <c r="P93" s="3">
        <v>1412174.0475000001</v>
      </c>
      <c r="Q93" s="3">
        <v>38072.800602959629</v>
      </c>
      <c r="R93" s="3">
        <v>5423.8281826276689</v>
      </c>
      <c r="S93" s="3">
        <v>25102.912193085838</v>
      </c>
      <c r="T93" s="3">
        <v>502.26292557995492</v>
      </c>
      <c r="U93">
        <v>4.6115653718925897E-2</v>
      </c>
      <c r="V93" s="3">
        <v>-1293652.2253358481</v>
      </c>
      <c r="W93">
        <v>238.29772808321189</v>
      </c>
      <c r="X93">
        <v>109.7587803943895</v>
      </c>
      <c r="Y93">
        <v>14.40661645968021</v>
      </c>
      <c r="Z93" s="5">
        <v>0.1160276278632778</v>
      </c>
      <c r="AA93">
        <v>23.35293199880627</v>
      </c>
      <c r="AB93">
        <v>566.38800273169295</v>
      </c>
      <c r="AC93">
        <v>65.123329365364043</v>
      </c>
      <c r="AD93" s="5">
        <v>0.1031229782514104</v>
      </c>
      <c r="AE93">
        <v>120.5080856875942</v>
      </c>
      <c r="AF93">
        <v>13.85602752454554</v>
      </c>
      <c r="AG93">
        <v>3.0652375446128168</v>
      </c>
      <c r="AH93" t="str">
        <f t="shared" si="3"/>
        <v>True</v>
      </c>
      <c r="AI93">
        <v>6</v>
      </c>
    </row>
    <row r="94" spans="1:35" x14ac:dyDescent="0.35">
      <c r="A94" t="s">
        <v>140</v>
      </c>
      <c r="B94" t="s">
        <v>135</v>
      </c>
      <c r="C94" t="s">
        <v>63</v>
      </c>
      <c r="D94" t="s">
        <v>39</v>
      </c>
      <c r="E94" t="s">
        <v>39</v>
      </c>
      <c r="F94" t="s">
        <v>39</v>
      </c>
      <c r="G94" t="s">
        <v>35</v>
      </c>
      <c r="H94" t="s">
        <v>35</v>
      </c>
      <c r="I94" t="s">
        <v>35</v>
      </c>
      <c r="J94" t="s">
        <v>35</v>
      </c>
      <c r="K94" t="s">
        <v>35</v>
      </c>
      <c r="L94" t="s">
        <v>35</v>
      </c>
      <c r="M94" t="s">
        <v>35</v>
      </c>
      <c r="N94" t="s">
        <v>37</v>
      </c>
      <c r="O94" t="str">
        <f t="shared" si="4"/>
        <v>False</v>
      </c>
      <c r="P94" s="3">
        <v>48961.7</v>
      </c>
      <c r="Q94" s="3">
        <v>41080.233656687691</v>
      </c>
      <c r="R94" s="3">
        <v>2416.3951288996091</v>
      </c>
      <c r="S94" s="3">
        <v>25607.488304568778</v>
      </c>
      <c r="T94" s="3">
        <v>-2.3131859029862061</v>
      </c>
      <c r="U94">
        <v>0.56919383108407084</v>
      </c>
      <c r="V94" s="3">
        <v>-680.06114006754069</v>
      </c>
      <c r="W94">
        <v>20.281705905650981</v>
      </c>
      <c r="X94">
        <v>117.8374690736229</v>
      </c>
      <c r="Y94">
        <v>6.3279277804467986</v>
      </c>
      <c r="Z94" s="5">
        <v>5.0963697944637003E-2</v>
      </c>
      <c r="AA94">
        <v>25.07180193055806</v>
      </c>
      <c r="AB94">
        <v>603.64263449766804</v>
      </c>
      <c r="AC94">
        <v>27.868697599388948</v>
      </c>
      <c r="AD94" s="5">
        <v>4.4130162331126301E-2</v>
      </c>
      <c r="AE94">
        <v>128.43460308461019</v>
      </c>
      <c r="AF94">
        <v>5.9295101275295634</v>
      </c>
      <c r="AG94">
        <v>1.3463676128610269</v>
      </c>
      <c r="AH94" t="str">
        <f t="shared" si="3"/>
        <v>False</v>
      </c>
      <c r="AI94">
        <v>0</v>
      </c>
    </row>
    <row r="95" spans="1:35" x14ac:dyDescent="0.35">
      <c r="A95" t="s">
        <v>141</v>
      </c>
      <c r="B95" t="s">
        <v>135</v>
      </c>
      <c r="C95" t="s">
        <v>63</v>
      </c>
      <c r="D95" t="s">
        <v>39</v>
      </c>
      <c r="E95" t="s">
        <v>39</v>
      </c>
      <c r="F95" t="s">
        <v>39</v>
      </c>
      <c r="G95" t="s">
        <v>35</v>
      </c>
      <c r="H95" t="s">
        <v>35</v>
      </c>
      <c r="I95" t="s">
        <v>35</v>
      </c>
      <c r="J95" t="s">
        <v>35</v>
      </c>
      <c r="K95" t="s">
        <v>35</v>
      </c>
      <c r="L95" t="s">
        <v>35</v>
      </c>
      <c r="M95" t="s">
        <v>37</v>
      </c>
      <c r="N95" t="s">
        <v>35</v>
      </c>
      <c r="O95" t="str">
        <f t="shared" si="4"/>
        <v>False</v>
      </c>
      <c r="P95" s="3">
        <v>579250</v>
      </c>
      <c r="Q95" s="3">
        <v>34810.417059553452</v>
      </c>
      <c r="R95" s="3">
        <v>8686.2117260338455</v>
      </c>
      <c r="S95" s="3">
        <v>24795.023163121259</v>
      </c>
      <c r="T95" s="3">
        <v>810.15195554453067</v>
      </c>
      <c r="U95">
        <v>0.1801013387212603</v>
      </c>
      <c r="V95" s="3">
        <v>-389322.72636843252</v>
      </c>
      <c r="W95">
        <v>60.997032066459752</v>
      </c>
      <c r="X95">
        <v>101.0910180632021</v>
      </c>
      <c r="Y95">
        <v>23.074378790867641</v>
      </c>
      <c r="Z95" s="5">
        <v>0.18583582363117421</v>
      </c>
      <c r="AA95">
        <v>21.508727247489801</v>
      </c>
      <c r="AB95">
        <v>527.18763164276697</v>
      </c>
      <c r="AC95">
        <v>104.32370045429001</v>
      </c>
      <c r="AD95" s="5">
        <v>0.16519687795286711</v>
      </c>
      <c r="AE95">
        <v>112.1675812005887</v>
      </c>
      <c r="AF95">
        <v>22.196532011551071</v>
      </c>
      <c r="AG95">
        <v>4.9094422959292876</v>
      </c>
      <c r="AH95" t="str">
        <f t="shared" si="3"/>
        <v>False</v>
      </c>
      <c r="AI95">
        <v>0</v>
      </c>
    </row>
    <row r="96" spans="1:35" x14ac:dyDescent="0.35">
      <c r="A96" t="s">
        <v>142</v>
      </c>
      <c r="B96" t="s">
        <v>135</v>
      </c>
      <c r="C96" t="s">
        <v>63</v>
      </c>
      <c r="D96" t="s">
        <v>39</v>
      </c>
      <c r="E96" t="s">
        <v>39</v>
      </c>
      <c r="F96" t="s">
        <v>39</v>
      </c>
      <c r="G96" t="s">
        <v>35</v>
      </c>
      <c r="H96" t="s">
        <v>37</v>
      </c>
      <c r="I96" t="s">
        <v>35</v>
      </c>
      <c r="J96" t="s">
        <v>37</v>
      </c>
      <c r="K96" t="s">
        <v>35</v>
      </c>
      <c r="L96" t="s">
        <v>35</v>
      </c>
      <c r="M96" t="s">
        <v>35</v>
      </c>
      <c r="N96" t="s">
        <v>35</v>
      </c>
      <c r="O96" t="str">
        <f t="shared" si="4"/>
        <v>True</v>
      </c>
      <c r="P96" s="3">
        <v>1977043.6665000001</v>
      </c>
      <c r="Q96" s="3">
        <v>33948.315279163457</v>
      </c>
      <c r="R96" s="3">
        <v>9548.3135064238359</v>
      </c>
      <c r="S96" s="3">
        <v>24720.746189760332</v>
      </c>
      <c r="T96" s="3">
        <v>884.42892890546045</v>
      </c>
      <c r="U96">
        <v>5.7988973131157702E-2</v>
      </c>
      <c r="V96" s="3">
        <v>-1768388.817793414</v>
      </c>
      <c r="W96">
        <v>189.50373583507309</v>
      </c>
      <c r="X96">
        <v>98.803350608938715</v>
      </c>
      <c r="Y96">
        <v>25.36204624513098</v>
      </c>
      <c r="Z96" s="5">
        <v>0.2042601794680263</v>
      </c>
      <c r="AA96">
        <v>21.02198949126355</v>
      </c>
      <c r="AB96">
        <v>516.86460004126297</v>
      </c>
      <c r="AC96">
        <v>114.646732055794</v>
      </c>
      <c r="AD96" s="5">
        <v>0.18154342800957679</v>
      </c>
      <c r="AE96">
        <v>109.9711914981411</v>
      </c>
      <c r="AF96">
        <v>24.392921713998721</v>
      </c>
      <c r="AG96">
        <v>5.3961800521555361</v>
      </c>
      <c r="AH96" t="str">
        <f t="shared" si="3"/>
        <v>True</v>
      </c>
      <c r="AI96">
        <v>11</v>
      </c>
    </row>
    <row r="97" spans="1:35" x14ac:dyDescent="0.35">
      <c r="A97" t="s">
        <v>143</v>
      </c>
      <c r="B97" t="s">
        <v>135</v>
      </c>
      <c r="C97" t="s">
        <v>63</v>
      </c>
      <c r="D97" t="s">
        <v>39</v>
      </c>
      <c r="E97" t="s">
        <v>39</v>
      </c>
      <c r="F97" t="s">
        <v>39</v>
      </c>
      <c r="G97" t="s">
        <v>35</v>
      </c>
      <c r="H97" t="s">
        <v>37</v>
      </c>
      <c r="I97" t="s">
        <v>35</v>
      </c>
      <c r="J97" t="s">
        <v>37</v>
      </c>
      <c r="K97" t="s">
        <v>35</v>
      </c>
      <c r="L97" t="s">
        <v>35</v>
      </c>
      <c r="M97" t="s">
        <v>35</v>
      </c>
      <c r="N97" t="s">
        <v>37</v>
      </c>
      <c r="O97" t="str">
        <f t="shared" si="4"/>
        <v>True</v>
      </c>
      <c r="P97" s="3">
        <v>2015017.97</v>
      </c>
      <c r="Q97" s="3">
        <v>31948.416506500449</v>
      </c>
      <c r="R97" s="3">
        <v>11548.21227908686</v>
      </c>
      <c r="S97" s="3">
        <v>24723.052203326199</v>
      </c>
      <c r="T97" s="3">
        <v>882.12291533959819</v>
      </c>
      <c r="U97">
        <v>6.8341784372285705E-2</v>
      </c>
      <c r="V97" s="3">
        <v>-1766411.266111471</v>
      </c>
      <c r="W97">
        <v>162.10487798458561</v>
      </c>
      <c r="X97">
        <v>93.566278075003041</v>
      </c>
      <c r="Y97">
        <v>30.599118779066661</v>
      </c>
      <c r="Z97" s="5">
        <v>0.246438376184868</v>
      </c>
      <c r="AA97">
        <v>19.907718739362348</v>
      </c>
      <c r="AB97">
        <v>493.80140848503601</v>
      </c>
      <c r="AC97">
        <v>137.70992361202099</v>
      </c>
      <c r="AD97" s="5">
        <v>0.21806405778139909</v>
      </c>
      <c r="AE97">
        <v>105.0641294649013</v>
      </c>
      <c r="AF97">
        <v>29.29998374723851</v>
      </c>
      <c r="AG97">
        <v>6.5104508040567417</v>
      </c>
      <c r="AH97" t="str">
        <f t="shared" si="3"/>
        <v>True</v>
      </c>
      <c r="AI97">
        <v>11</v>
      </c>
    </row>
    <row r="98" spans="1:35" x14ac:dyDescent="0.35">
      <c r="A98" t="s">
        <v>144</v>
      </c>
      <c r="B98" t="s">
        <v>135</v>
      </c>
      <c r="C98" t="s">
        <v>63</v>
      </c>
      <c r="D98" t="s">
        <v>39</v>
      </c>
      <c r="E98" t="s">
        <v>39</v>
      </c>
      <c r="F98" t="s">
        <v>39</v>
      </c>
      <c r="G98" t="s">
        <v>35</v>
      </c>
      <c r="H98" t="s">
        <v>37</v>
      </c>
      <c r="I98" t="s">
        <v>35</v>
      </c>
      <c r="J98" t="s">
        <v>37</v>
      </c>
      <c r="K98" t="s">
        <v>35</v>
      </c>
      <c r="L98" t="s">
        <v>35</v>
      </c>
      <c r="M98" t="s">
        <v>37</v>
      </c>
      <c r="N98" t="s">
        <v>35</v>
      </c>
      <c r="O98" t="str">
        <f t="shared" si="4"/>
        <v>True</v>
      </c>
      <c r="P98" s="3">
        <v>2556293.6664999998</v>
      </c>
      <c r="Q98" s="3">
        <v>25963.094025849121</v>
      </c>
      <c r="R98" s="3">
        <v>17533.534759738181</v>
      </c>
      <c r="S98" s="3">
        <v>23975.603322565079</v>
      </c>
      <c r="T98" s="3">
        <v>1629.5717961007169</v>
      </c>
      <c r="U98">
        <v>8.2366605526796893E-2</v>
      </c>
      <c r="V98" s="3">
        <v>-2173031.5353832222</v>
      </c>
      <c r="W98">
        <v>133.39662121333399</v>
      </c>
      <c r="X98">
        <v>77.590960653679886</v>
      </c>
      <c r="Y98">
        <v>46.574436200389812</v>
      </c>
      <c r="Z98" s="5">
        <v>0.37509996649975091</v>
      </c>
      <c r="AA98">
        <v>16.50871503269785</v>
      </c>
      <c r="AB98">
        <v>420.95810005780203</v>
      </c>
      <c r="AC98">
        <v>210.55323203925499</v>
      </c>
      <c r="AD98" s="5">
        <v>0.33341164495033182</v>
      </c>
      <c r="AE98">
        <v>89.565553203787658</v>
      </c>
      <c r="AF98">
        <v>44.798560008352133</v>
      </c>
      <c r="AG98">
        <v>9.9094545107212433</v>
      </c>
      <c r="AH98" t="str">
        <f t="shared" si="3"/>
        <v>True</v>
      </c>
      <c r="AI98">
        <v>11</v>
      </c>
    </row>
    <row r="99" spans="1:35" x14ac:dyDescent="0.35">
      <c r="A99" t="s">
        <v>145</v>
      </c>
      <c r="B99" t="s">
        <v>135</v>
      </c>
      <c r="C99" t="s">
        <v>63</v>
      </c>
      <c r="D99" t="s">
        <v>39</v>
      </c>
      <c r="E99" t="s">
        <v>39</v>
      </c>
      <c r="F99" t="s">
        <v>39</v>
      </c>
      <c r="G99" t="s">
        <v>35</v>
      </c>
      <c r="H99" t="s">
        <v>37</v>
      </c>
      <c r="I99" t="s">
        <v>35</v>
      </c>
      <c r="J99" t="s">
        <v>37</v>
      </c>
      <c r="K99" t="s">
        <v>35</v>
      </c>
      <c r="L99" t="s">
        <v>35</v>
      </c>
      <c r="M99" t="s">
        <v>37</v>
      </c>
      <c r="N99" t="s">
        <v>37</v>
      </c>
      <c r="O99" t="str">
        <f t="shared" si="4"/>
        <v>True</v>
      </c>
      <c r="P99" s="3">
        <v>2586919.11</v>
      </c>
      <c r="Q99" s="3">
        <v>24208.151214045989</v>
      </c>
      <c r="R99" s="3">
        <v>19288.47757154132</v>
      </c>
      <c r="S99" s="3">
        <v>23977.953119351761</v>
      </c>
      <c r="T99" s="3">
        <v>1627.221999314037</v>
      </c>
      <c r="U99">
        <v>8.9214191037992996E-2</v>
      </c>
      <c r="V99" s="3">
        <v>-2168605.1185828932</v>
      </c>
      <c r="W99">
        <v>123.68312621991861</v>
      </c>
      <c r="X99">
        <v>72.995477146995796</v>
      </c>
      <c r="Y99">
        <v>51.169919707073902</v>
      </c>
      <c r="Z99" s="5">
        <v>0.4121109504221484</v>
      </c>
      <c r="AA99">
        <v>15.53095258446719</v>
      </c>
      <c r="AB99">
        <v>400.72143641768201</v>
      </c>
      <c r="AC99">
        <v>230.78989567937501</v>
      </c>
      <c r="AD99" s="5">
        <v>0.36545645968535823</v>
      </c>
      <c r="AE99">
        <v>85.259880088868513</v>
      </c>
      <c r="AF99">
        <v>49.104233123271271</v>
      </c>
      <c r="AG99">
        <v>10.8872169589519</v>
      </c>
      <c r="AH99" t="str">
        <f t="shared" si="3"/>
        <v>True</v>
      </c>
      <c r="AI99">
        <v>11</v>
      </c>
    </row>
    <row r="100" spans="1:35" x14ac:dyDescent="0.35">
      <c r="A100" t="s">
        <v>146</v>
      </c>
      <c r="B100" t="s">
        <v>147</v>
      </c>
      <c r="C100" t="s">
        <v>63</v>
      </c>
      <c r="D100" t="s">
        <v>39</v>
      </c>
      <c r="E100" t="s">
        <v>39</v>
      </c>
      <c r="F100" t="s">
        <v>39</v>
      </c>
      <c r="G100" t="s">
        <v>35</v>
      </c>
      <c r="H100" t="s">
        <v>35</v>
      </c>
      <c r="I100" t="s">
        <v>35</v>
      </c>
      <c r="J100" t="s">
        <v>35</v>
      </c>
      <c r="K100" t="s">
        <v>35</v>
      </c>
      <c r="L100" t="s">
        <v>35</v>
      </c>
      <c r="M100" t="s">
        <v>35</v>
      </c>
      <c r="N100" t="s">
        <v>35</v>
      </c>
      <c r="O100" t="str">
        <f t="shared" si="4"/>
        <v>False</v>
      </c>
      <c r="P100" s="3">
        <v>0</v>
      </c>
      <c r="Q100" s="3">
        <v>46496.57177875092</v>
      </c>
      <c r="R100" s="3">
        <v>0</v>
      </c>
      <c r="S100" s="3">
        <v>30954.91233298961</v>
      </c>
      <c r="T100" s="3">
        <v>0</v>
      </c>
      <c r="U100">
        <v>0</v>
      </c>
      <c r="V100" s="3">
        <v>0</v>
      </c>
      <c r="W100">
        <v>0</v>
      </c>
      <c r="X100">
        <v>134.16253253186269</v>
      </c>
      <c r="Y100">
        <v>-2.8421709430404007E-14</v>
      </c>
      <c r="Z100" s="5">
        <v>-2.1184535573412831E-16</v>
      </c>
      <c r="AA100">
        <v>20.514148705177789</v>
      </c>
      <c r="AB100">
        <v>693.21200469135897</v>
      </c>
      <c r="AC100">
        <v>0</v>
      </c>
      <c r="AD100" s="5">
        <v>0</v>
      </c>
      <c r="AE100">
        <v>105.99571937176739</v>
      </c>
      <c r="AF100">
        <v>0</v>
      </c>
      <c r="AG100">
        <v>0</v>
      </c>
      <c r="AH100" t="str">
        <f t="shared" si="3"/>
        <v>False</v>
      </c>
      <c r="AI100">
        <v>0</v>
      </c>
    </row>
    <row r="101" spans="1:35" x14ac:dyDescent="0.35">
      <c r="A101" t="s">
        <v>148</v>
      </c>
      <c r="B101" t="s">
        <v>147</v>
      </c>
      <c r="C101" t="s">
        <v>63</v>
      </c>
      <c r="D101" t="s">
        <v>52</v>
      </c>
      <c r="E101" t="s">
        <v>52</v>
      </c>
      <c r="F101" t="s">
        <v>52</v>
      </c>
      <c r="G101" t="s">
        <v>35</v>
      </c>
      <c r="H101" t="s">
        <v>37</v>
      </c>
      <c r="I101" t="s">
        <v>35</v>
      </c>
      <c r="J101" t="s">
        <v>35</v>
      </c>
      <c r="K101" t="s">
        <v>35</v>
      </c>
      <c r="L101" t="s">
        <v>35</v>
      </c>
      <c r="M101" t="s">
        <v>35</v>
      </c>
      <c r="N101" t="s">
        <v>35</v>
      </c>
      <c r="O101" t="str">
        <f t="shared" si="4"/>
        <v>False</v>
      </c>
      <c r="P101" s="3">
        <v>461835</v>
      </c>
      <c r="Q101" s="3">
        <v>28686.556692172799</v>
      </c>
      <c r="R101" s="3">
        <v>17810.015086578129</v>
      </c>
      <c r="S101" s="3">
        <v>29103.84634818475</v>
      </c>
      <c r="T101" s="3">
        <v>1851.065984804867</v>
      </c>
      <c r="U101">
        <v>0.46524138821450728</v>
      </c>
      <c r="V101" s="3">
        <v>-68613.378572340123</v>
      </c>
      <c r="W101">
        <v>23.489807011284231</v>
      </c>
      <c r="X101">
        <v>86.775360728303838</v>
      </c>
      <c r="Y101">
        <v>47.387171803558857</v>
      </c>
      <c r="Z101" s="5">
        <v>0.35320719510348192</v>
      </c>
      <c r="AA101">
        <v>13.268403781086221</v>
      </c>
      <c r="AB101">
        <v>478.34724816531201</v>
      </c>
      <c r="AC101">
        <v>214.86475652604699</v>
      </c>
      <c r="AD101" s="5">
        <v>0.30995533122902552</v>
      </c>
      <c r="AE101">
        <v>73.141781065032418</v>
      </c>
      <c r="AF101">
        <v>32.85393830673501</v>
      </c>
      <c r="AG101">
        <v>7.2457449240915732</v>
      </c>
      <c r="AH101" t="str">
        <f t="shared" si="3"/>
        <v>False</v>
      </c>
      <c r="AI101">
        <v>9</v>
      </c>
    </row>
    <row r="102" spans="1:35" x14ac:dyDescent="0.35">
      <c r="A102" t="s">
        <v>149</v>
      </c>
      <c r="B102" t="s">
        <v>147</v>
      </c>
      <c r="C102" t="s">
        <v>63</v>
      </c>
      <c r="D102" t="s">
        <v>52</v>
      </c>
      <c r="E102" t="s">
        <v>52</v>
      </c>
      <c r="F102" t="s">
        <v>52</v>
      </c>
      <c r="G102" t="s">
        <v>35</v>
      </c>
      <c r="H102" t="s">
        <v>37</v>
      </c>
      <c r="I102" t="s">
        <v>37</v>
      </c>
      <c r="J102" t="s">
        <v>35</v>
      </c>
      <c r="K102" t="s">
        <v>37</v>
      </c>
      <c r="L102" t="s">
        <v>35</v>
      </c>
      <c r="M102" t="s">
        <v>37</v>
      </c>
      <c r="N102" t="s">
        <v>35</v>
      </c>
      <c r="O102" t="str">
        <f t="shared" si="4"/>
        <v>True</v>
      </c>
      <c r="P102" s="3">
        <v>2331334.4</v>
      </c>
      <c r="Q102" s="3">
        <v>11703.69942486067</v>
      </c>
      <c r="R102" s="3">
        <v>34792.872353890263</v>
      </c>
      <c r="S102" s="3">
        <v>27338.321586044589</v>
      </c>
      <c r="T102" s="3">
        <v>3616.5907469450299</v>
      </c>
      <c r="U102">
        <v>0.18004822959814429</v>
      </c>
      <c r="V102" s="3">
        <v>-1563145.137983294</v>
      </c>
      <c r="W102">
        <v>60.696875503820841</v>
      </c>
      <c r="X102">
        <v>41.588839300661903</v>
      </c>
      <c r="Y102">
        <v>92.573693231200807</v>
      </c>
      <c r="Z102" s="5">
        <v>0.69001152172805891</v>
      </c>
      <c r="AA102">
        <v>6.3591497401623691</v>
      </c>
      <c r="AB102">
        <v>273.45937337010702</v>
      </c>
      <c r="AC102">
        <v>419.75263132125201</v>
      </c>
      <c r="AD102" s="5">
        <v>0.60551841064572987</v>
      </c>
      <c r="AE102">
        <v>41.813359842524008</v>
      </c>
      <c r="AF102">
        <v>64.182359529243428</v>
      </c>
      <c r="AG102">
        <v>14.15499896501542</v>
      </c>
      <c r="AH102" t="str">
        <f t="shared" si="3"/>
        <v>True</v>
      </c>
      <c r="AI102">
        <v>11</v>
      </c>
    </row>
    <row r="103" spans="1:35" x14ac:dyDescent="0.35">
      <c r="A103" t="s">
        <v>150</v>
      </c>
      <c r="B103" t="s">
        <v>147</v>
      </c>
      <c r="C103" t="s">
        <v>63</v>
      </c>
      <c r="D103" t="s">
        <v>39</v>
      </c>
      <c r="E103" t="s">
        <v>39</v>
      </c>
      <c r="F103" t="s">
        <v>39</v>
      </c>
      <c r="G103" t="s">
        <v>35</v>
      </c>
      <c r="H103" t="s">
        <v>35</v>
      </c>
      <c r="I103" t="s">
        <v>37</v>
      </c>
      <c r="J103" t="s">
        <v>35</v>
      </c>
      <c r="K103" t="s">
        <v>35</v>
      </c>
      <c r="L103" t="s">
        <v>35</v>
      </c>
      <c r="M103" t="s">
        <v>35</v>
      </c>
      <c r="N103" t="s">
        <v>35</v>
      </c>
      <c r="O103" t="str">
        <f t="shared" si="4"/>
        <v>False</v>
      </c>
      <c r="P103" s="3">
        <v>940775</v>
      </c>
      <c r="Q103" s="3">
        <v>39787.018126600713</v>
      </c>
      <c r="R103" s="3">
        <v>6709.5536521502136</v>
      </c>
      <c r="S103" s="3">
        <v>30257.035560705091</v>
      </c>
      <c r="T103" s="3">
        <v>697.87677228452185</v>
      </c>
      <c r="U103">
        <v>8.6044487294965305E-2</v>
      </c>
      <c r="V103" s="3">
        <v>-792626.39151130524</v>
      </c>
      <c r="W103">
        <v>127.00423035992149</v>
      </c>
      <c r="X103">
        <v>116.31018834148939</v>
      </c>
      <c r="Y103">
        <v>17.852344190373302</v>
      </c>
      <c r="Z103" s="5">
        <v>0.13306505067749441</v>
      </c>
      <c r="AA103">
        <v>17.78443246811764</v>
      </c>
      <c r="AB103">
        <v>612.26350215643799</v>
      </c>
      <c r="AC103">
        <v>80.948502534920976</v>
      </c>
      <c r="AD103" s="5">
        <v>0.1167730823861914</v>
      </c>
      <c r="AE103">
        <v>93.618272500984403</v>
      </c>
      <c r="AF103">
        <v>12.37744687078302</v>
      </c>
      <c r="AG103">
        <v>2.729716237060146</v>
      </c>
      <c r="AH103" t="str">
        <f t="shared" si="3"/>
        <v>True</v>
      </c>
      <c r="AI103">
        <v>5</v>
      </c>
    </row>
    <row r="104" spans="1:35" x14ac:dyDescent="0.35">
      <c r="A104" t="s">
        <v>151</v>
      </c>
      <c r="B104" t="s">
        <v>147</v>
      </c>
      <c r="C104" t="s">
        <v>63</v>
      </c>
      <c r="D104" t="s">
        <v>39</v>
      </c>
      <c r="E104" t="s">
        <v>39</v>
      </c>
      <c r="F104" t="s">
        <v>39</v>
      </c>
      <c r="G104" t="s">
        <v>35</v>
      </c>
      <c r="H104" t="s">
        <v>35</v>
      </c>
      <c r="I104" t="s">
        <v>35</v>
      </c>
      <c r="J104" t="s">
        <v>35</v>
      </c>
      <c r="K104" t="s">
        <v>35</v>
      </c>
      <c r="L104" t="s">
        <v>35</v>
      </c>
      <c r="M104" t="s">
        <v>37</v>
      </c>
      <c r="N104" t="s">
        <v>35</v>
      </c>
      <c r="O104" t="str">
        <f t="shared" si="4"/>
        <v>False</v>
      </c>
      <c r="P104" s="3">
        <v>506550</v>
      </c>
      <c r="Q104" s="3">
        <v>39666.391989774413</v>
      </c>
      <c r="R104" s="3">
        <v>6830.1797889765076</v>
      </c>
      <c r="S104" s="3">
        <v>32836.207190547982</v>
      </c>
      <c r="T104" s="3">
        <v>-1881.294857558368</v>
      </c>
      <c r="U104">
        <v>0.13677068835260089</v>
      </c>
      <c r="V104" s="3">
        <v>-407572.30137163721</v>
      </c>
      <c r="W104">
        <v>102.35639078697361</v>
      </c>
      <c r="X104">
        <v>117.02592145564449</v>
      </c>
      <c r="Y104">
        <v>17.13661107621817</v>
      </c>
      <c r="Z104" s="5">
        <v>0.12773022954190541</v>
      </c>
      <c r="AA104">
        <v>17.893871782208642</v>
      </c>
      <c r="AB104">
        <v>623.93081250634896</v>
      </c>
      <c r="AC104">
        <v>69.281192185010013</v>
      </c>
      <c r="AD104" s="5">
        <v>9.9942285644427503E-2</v>
      </c>
      <c r="AE104">
        <v>95.402264909227682</v>
      </c>
      <c r="AF104">
        <v>10.593454462539761</v>
      </c>
      <c r="AG104">
        <v>2.6202769229691469</v>
      </c>
      <c r="AH104" t="str">
        <f t="shared" si="3"/>
        <v>False</v>
      </c>
      <c r="AI104">
        <v>5</v>
      </c>
    </row>
    <row r="105" spans="1:35" x14ac:dyDescent="0.35">
      <c r="A105" t="s">
        <v>152</v>
      </c>
      <c r="B105" t="s">
        <v>147</v>
      </c>
      <c r="C105" t="s">
        <v>63</v>
      </c>
      <c r="D105" t="s">
        <v>39</v>
      </c>
      <c r="E105" t="s">
        <v>39</v>
      </c>
      <c r="F105" t="s">
        <v>39</v>
      </c>
      <c r="G105" t="s">
        <v>35</v>
      </c>
      <c r="H105" t="s">
        <v>35</v>
      </c>
      <c r="I105" t="s">
        <v>35</v>
      </c>
      <c r="J105" t="s">
        <v>35</v>
      </c>
      <c r="K105" t="s">
        <v>37</v>
      </c>
      <c r="L105" t="s">
        <v>35</v>
      </c>
      <c r="M105" t="s">
        <v>35</v>
      </c>
      <c r="N105" t="s">
        <v>35</v>
      </c>
      <c r="O105" t="str">
        <f t="shared" si="4"/>
        <v>False</v>
      </c>
      <c r="P105" s="3">
        <v>422174.4</v>
      </c>
      <c r="Q105" s="3">
        <v>39850.106756077803</v>
      </c>
      <c r="R105" s="3">
        <v>6646.4650226731228</v>
      </c>
      <c r="S105" s="3">
        <v>30271.350191407699</v>
      </c>
      <c r="T105" s="3">
        <v>683.56214158191926</v>
      </c>
      <c r="U105">
        <v>0.18984596333700701</v>
      </c>
      <c r="V105" s="3">
        <v>-275573.85671489919</v>
      </c>
      <c r="W105">
        <v>57.595202656101748</v>
      </c>
      <c r="X105">
        <v>116.4811515180037</v>
      </c>
      <c r="Y105">
        <v>17.681381013858971</v>
      </c>
      <c r="Z105" s="5">
        <v>0.1317907517112481</v>
      </c>
      <c r="AA105">
        <v>17.810573626606079</v>
      </c>
      <c r="AB105">
        <v>613.06389902713602</v>
      </c>
      <c r="AC105">
        <v>80.148105664222953</v>
      </c>
      <c r="AD105" s="5">
        <v>0.11561846177188979</v>
      </c>
      <c r="AE105">
        <v>93.740657343598784</v>
      </c>
      <c r="AF105">
        <v>12.25506202816865</v>
      </c>
      <c r="AG105">
        <v>2.703575078571713</v>
      </c>
      <c r="AH105" t="str">
        <f t="shared" si="3"/>
        <v>False</v>
      </c>
      <c r="AI105">
        <v>11</v>
      </c>
    </row>
    <row r="106" spans="1:35" x14ac:dyDescent="0.35">
      <c r="A106" t="s">
        <v>153</v>
      </c>
      <c r="B106" t="s">
        <v>147</v>
      </c>
      <c r="C106" t="s">
        <v>63</v>
      </c>
      <c r="D106" t="s">
        <v>52</v>
      </c>
      <c r="E106" t="s">
        <v>52</v>
      </c>
      <c r="F106" t="s">
        <v>52</v>
      </c>
      <c r="G106" t="s">
        <v>35</v>
      </c>
      <c r="H106" t="s">
        <v>37</v>
      </c>
      <c r="I106" t="s">
        <v>37</v>
      </c>
      <c r="J106" t="s">
        <v>35</v>
      </c>
      <c r="K106" t="s">
        <v>35</v>
      </c>
      <c r="L106" t="s">
        <v>35</v>
      </c>
      <c r="M106" t="s">
        <v>35</v>
      </c>
      <c r="N106" t="s">
        <v>35</v>
      </c>
      <c r="O106" t="str">
        <f t="shared" si="4"/>
        <v>True</v>
      </c>
      <c r="P106" s="3">
        <v>1402610</v>
      </c>
      <c r="Q106" s="3">
        <v>22692.486600447399</v>
      </c>
      <c r="R106" s="3">
        <v>23804.085178303529</v>
      </c>
      <c r="S106" s="3">
        <v>28480.98376732512</v>
      </c>
      <c r="T106" s="3">
        <v>2473.9285656644902</v>
      </c>
      <c r="U106">
        <v>0.20474556600689001</v>
      </c>
      <c r="V106" s="3">
        <v>-877049.72512063966</v>
      </c>
      <c r="W106">
        <v>53.375799771851547</v>
      </c>
      <c r="X106">
        <v>70.826966696056147</v>
      </c>
      <c r="Y106">
        <v>63.335565835806548</v>
      </c>
      <c r="Z106" s="5">
        <v>0.47208087564063222</v>
      </c>
      <c r="AA106">
        <v>10.829811421415309</v>
      </c>
      <c r="AB106">
        <v>406.03382635443501</v>
      </c>
      <c r="AC106">
        <v>287.17817833692402</v>
      </c>
      <c r="AD106" s="5">
        <v>0.4142717904384608</v>
      </c>
      <c r="AE106">
        <v>62.08468292881269</v>
      </c>
      <c r="AF106">
        <v>43.911036442954732</v>
      </c>
      <c r="AG106">
        <v>9.6843372837624759</v>
      </c>
      <c r="AH106" t="str">
        <f t="shared" si="3"/>
        <v>True</v>
      </c>
      <c r="AI106">
        <v>9</v>
      </c>
    </row>
    <row r="107" spans="1:35" x14ac:dyDescent="0.35">
      <c r="A107" t="s">
        <v>154</v>
      </c>
      <c r="B107" t="s">
        <v>147</v>
      </c>
      <c r="C107" t="s">
        <v>63</v>
      </c>
      <c r="D107" t="s">
        <v>39</v>
      </c>
      <c r="E107" t="s">
        <v>52</v>
      </c>
      <c r="F107" t="s">
        <v>39</v>
      </c>
      <c r="G107" t="s">
        <v>35</v>
      </c>
      <c r="H107" t="s">
        <v>35</v>
      </c>
      <c r="I107" t="s">
        <v>37</v>
      </c>
      <c r="J107" t="s">
        <v>35</v>
      </c>
      <c r="K107" t="s">
        <v>37</v>
      </c>
      <c r="L107" t="s">
        <v>35</v>
      </c>
      <c r="M107" t="s">
        <v>35</v>
      </c>
      <c r="N107" t="s">
        <v>35</v>
      </c>
      <c r="O107" t="str">
        <f t="shared" si="4"/>
        <v>True</v>
      </c>
      <c r="P107" s="3">
        <v>1362949.4</v>
      </c>
      <c r="Q107" s="3">
        <v>33445.944078918583</v>
      </c>
      <c r="R107" s="3">
        <v>13050.62769983235</v>
      </c>
      <c r="S107" s="3">
        <v>29604.608965045711</v>
      </c>
      <c r="T107" s="3">
        <v>1350.3033679439029</v>
      </c>
      <c r="U107">
        <v>0.1154961096644959</v>
      </c>
      <c r="V107" s="3">
        <v>-1074930.7786444749</v>
      </c>
      <c r="W107">
        <v>94.643144501243881</v>
      </c>
      <c r="X107">
        <v>99.441120220545997</v>
      </c>
      <c r="Y107">
        <v>34.721412311316698</v>
      </c>
      <c r="Z107" s="5">
        <v>0.25880110978876009</v>
      </c>
      <c r="AA107">
        <v>15.205064253906119</v>
      </c>
      <c r="AB107">
        <v>535.79665132180003</v>
      </c>
      <c r="AC107">
        <v>157.41535336955889</v>
      </c>
      <c r="AD107" s="5">
        <v>0.227081112710455</v>
      </c>
      <c r="AE107">
        <v>81.926093474281359</v>
      </c>
      <c r="AF107">
        <v>24.06962589748607</v>
      </c>
      <c r="AG107">
        <v>5.3090844512716728</v>
      </c>
      <c r="AH107" t="str">
        <f t="shared" si="3"/>
        <v>True</v>
      </c>
      <c r="AI107">
        <v>11</v>
      </c>
    </row>
    <row r="108" spans="1:35" x14ac:dyDescent="0.35">
      <c r="A108" t="s">
        <v>155</v>
      </c>
      <c r="B108" t="s">
        <v>147</v>
      </c>
      <c r="C108" t="s">
        <v>63</v>
      </c>
      <c r="D108" t="s">
        <v>52</v>
      </c>
      <c r="E108" t="s">
        <v>52</v>
      </c>
      <c r="F108" t="s">
        <v>52</v>
      </c>
      <c r="G108" t="s">
        <v>35</v>
      </c>
      <c r="H108" t="s">
        <v>37</v>
      </c>
      <c r="I108" t="s">
        <v>35</v>
      </c>
      <c r="J108" t="s">
        <v>35</v>
      </c>
      <c r="K108" t="s">
        <v>37</v>
      </c>
      <c r="L108" t="s">
        <v>35</v>
      </c>
      <c r="M108" t="s">
        <v>35</v>
      </c>
      <c r="N108" t="s">
        <v>35</v>
      </c>
      <c r="O108" t="str">
        <f t="shared" si="4"/>
        <v>True</v>
      </c>
      <c r="P108" s="3">
        <v>884009.4</v>
      </c>
      <c r="Q108" s="3">
        <v>22848.371401805391</v>
      </c>
      <c r="R108" s="3">
        <v>23648.20037694554</v>
      </c>
      <c r="S108" s="3">
        <v>28502.520476716349</v>
      </c>
      <c r="T108" s="3">
        <v>2452.3918562732611</v>
      </c>
      <c r="U108">
        <v>0.32270078813548808</v>
      </c>
      <c r="V108" s="3">
        <v>-361997.55533562403</v>
      </c>
      <c r="W108">
        <v>33.869323427646279</v>
      </c>
      <c r="X108">
        <v>71.243863944809348</v>
      </c>
      <c r="Y108">
        <v>62.918668587053347</v>
      </c>
      <c r="Z108" s="5">
        <v>0.46897347120449279</v>
      </c>
      <c r="AA108">
        <v>10.8935571781054</v>
      </c>
      <c r="AB108">
        <v>407.94147459217902</v>
      </c>
      <c r="AC108">
        <v>285.27053009918001</v>
      </c>
      <c r="AD108" s="5">
        <v>0.41151989314753989</v>
      </c>
      <c r="AE108">
        <v>62.376372261801073</v>
      </c>
      <c r="AF108">
        <v>43.619347109966363</v>
      </c>
      <c r="AG108">
        <v>9.6205915270723832</v>
      </c>
      <c r="AH108" t="str">
        <f t="shared" si="3"/>
        <v>False</v>
      </c>
      <c r="AI108">
        <v>11</v>
      </c>
    </row>
    <row r="109" spans="1:35" x14ac:dyDescent="0.35">
      <c r="A109" t="s">
        <v>156</v>
      </c>
      <c r="B109" t="s">
        <v>147</v>
      </c>
      <c r="C109" t="s">
        <v>63</v>
      </c>
      <c r="D109" t="s">
        <v>52</v>
      </c>
      <c r="E109" t="s">
        <v>52</v>
      </c>
      <c r="F109" t="s">
        <v>52</v>
      </c>
      <c r="G109" t="s">
        <v>35</v>
      </c>
      <c r="H109" t="s">
        <v>37</v>
      </c>
      <c r="I109" t="s">
        <v>37</v>
      </c>
      <c r="J109" t="s">
        <v>35</v>
      </c>
      <c r="K109" t="s">
        <v>37</v>
      </c>
      <c r="L109" t="s">
        <v>35</v>
      </c>
      <c r="M109" t="s">
        <v>35</v>
      </c>
      <c r="N109" t="s">
        <v>35</v>
      </c>
      <c r="O109" t="str">
        <f t="shared" si="4"/>
        <v>True</v>
      </c>
      <c r="P109" s="3">
        <v>1824784.4</v>
      </c>
      <c r="Q109" s="3">
        <v>17217.497564719801</v>
      </c>
      <c r="R109" s="3">
        <v>29279.074214031119</v>
      </c>
      <c r="S109" s="3">
        <v>27914.622248487169</v>
      </c>
      <c r="T109" s="3">
        <v>3040.2900845024442</v>
      </c>
      <c r="U109">
        <v>0.19356607409274759</v>
      </c>
      <c r="V109" s="3">
        <v>-1178397.114029329</v>
      </c>
      <c r="W109">
        <v>56.461023897143797</v>
      </c>
      <c r="X109">
        <v>56.260713872181228</v>
      </c>
      <c r="Y109">
        <v>77.901818659681453</v>
      </c>
      <c r="Z109" s="5">
        <v>0.58065256513535402</v>
      </c>
      <c r="AA109">
        <v>8.6025556379482016</v>
      </c>
      <c r="AB109">
        <v>339.995652317669</v>
      </c>
      <c r="AC109">
        <v>353.21635237368997</v>
      </c>
      <c r="AD109" s="5">
        <v>0.50953582739951775</v>
      </c>
      <c r="AE109">
        <v>51.987102800866822</v>
      </c>
      <c r="AF109">
        <v>54.008616570900607</v>
      </c>
      <c r="AG109">
        <v>11.911593067229591</v>
      </c>
      <c r="AH109" t="str">
        <f t="shared" si="3"/>
        <v>True</v>
      </c>
      <c r="AI109">
        <v>11</v>
      </c>
    </row>
    <row r="110" spans="1:35" x14ac:dyDescent="0.35">
      <c r="A110" t="s">
        <v>157</v>
      </c>
      <c r="B110" t="s">
        <v>147</v>
      </c>
      <c r="C110" t="s">
        <v>63</v>
      </c>
      <c r="D110" t="s">
        <v>52</v>
      </c>
      <c r="E110" t="s">
        <v>52</v>
      </c>
      <c r="F110" t="s">
        <v>52</v>
      </c>
      <c r="G110" t="s">
        <v>35</v>
      </c>
      <c r="H110" t="s">
        <v>37</v>
      </c>
      <c r="I110" t="s">
        <v>35</v>
      </c>
      <c r="J110" t="s">
        <v>35</v>
      </c>
      <c r="K110" t="s">
        <v>37</v>
      </c>
      <c r="L110" t="s">
        <v>35</v>
      </c>
      <c r="M110" t="s">
        <v>37</v>
      </c>
      <c r="N110" t="s">
        <v>35</v>
      </c>
      <c r="O110" t="str">
        <f t="shared" si="4"/>
        <v>True</v>
      </c>
      <c r="P110" s="3">
        <v>1390559.4</v>
      </c>
      <c r="Q110" s="3">
        <v>17003.900251502171</v>
      </c>
      <c r="R110" s="3">
        <v>29492.671527248749</v>
      </c>
      <c r="S110" s="3">
        <v>27891.47477870162</v>
      </c>
      <c r="T110" s="3">
        <v>3063.437554287992</v>
      </c>
      <c r="U110">
        <v>0.25586684347865329</v>
      </c>
      <c r="V110" s="3">
        <v>-739437.21836926497</v>
      </c>
      <c r="W110">
        <v>42.71270244602465</v>
      </c>
      <c r="X110">
        <v>55.692015746152308</v>
      </c>
      <c r="Y110">
        <v>78.470516785710387</v>
      </c>
      <c r="Z110" s="5">
        <v>0.58489143954609069</v>
      </c>
      <c r="AA110">
        <v>8.5155987379437779</v>
      </c>
      <c r="AB110">
        <v>337.41396034378897</v>
      </c>
      <c r="AC110">
        <v>355.79804434757</v>
      </c>
      <c r="AD110" s="5">
        <v>0.51326007331044865</v>
      </c>
      <c r="AE110">
        <v>51.592348676420329</v>
      </c>
      <c r="AF110">
        <v>54.403370695347093</v>
      </c>
      <c r="AG110">
        <v>11.998549967234011</v>
      </c>
      <c r="AH110" t="str">
        <f t="shared" si="3"/>
        <v>False</v>
      </c>
      <c r="AI110">
        <v>11</v>
      </c>
    </row>
    <row r="111" spans="1:35" x14ac:dyDescent="0.35">
      <c r="A111" t="s">
        <v>158</v>
      </c>
      <c r="B111" t="s">
        <v>159</v>
      </c>
      <c r="C111" t="s">
        <v>63</v>
      </c>
      <c r="D111" t="s">
        <v>39</v>
      </c>
      <c r="E111" t="s">
        <v>39</v>
      </c>
      <c r="F111" t="s">
        <v>39</v>
      </c>
      <c r="G111" t="s">
        <v>35</v>
      </c>
      <c r="H111" t="s">
        <v>35</v>
      </c>
      <c r="I111" t="s">
        <v>35</v>
      </c>
      <c r="J111" t="s">
        <v>35</v>
      </c>
      <c r="K111" t="s">
        <v>35</v>
      </c>
      <c r="L111" t="s">
        <v>35</v>
      </c>
      <c r="M111" t="s">
        <v>35</v>
      </c>
      <c r="N111" t="s">
        <v>35</v>
      </c>
      <c r="O111" t="str">
        <f t="shared" si="4"/>
        <v>False</v>
      </c>
      <c r="P111" s="3">
        <v>0</v>
      </c>
      <c r="Q111" s="3">
        <v>50148.792998645382</v>
      </c>
      <c r="R111" s="3">
        <v>0</v>
      </c>
      <c r="S111" s="3">
        <v>25153.37296788425</v>
      </c>
      <c r="T111" s="3">
        <v>0</v>
      </c>
      <c r="U111">
        <v>0</v>
      </c>
      <c r="V111" s="3">
        <v>0</v>
      </c>
      <c r="W111">
        <v>0</v>
      </c>
      <c r="X111">
        <v>141.40755907168699</v>
      </c>
      <c r="Y111">
        <v>0</v>
      </c>
      <c r="Z111" s="5">
        <v>0</v>
      </c>
      <c r="AA111">
        <v>19.275839568114371</v>
      </c>
      <c r="AB111">
        <v>705.976515159874</v>
      </c>
      <c r="AC111">
        <v>0</v>
      </c>
      <c r="AD111" s="5">
        <v>0</v>
      </c>
      <c r="AE111">
        <v>96.234530419830165</v>
      </c>
      <c r="AF111">
        <v>0</v>
      </c>
      <c r="AG111">
        <v>3.5527136788005009E-15</v>
      </c>
      <c r="AH111" t="str">
        <f t="shared" si="3"/>
        <v>False</v>
      </c>
      <c r="AI111">
        <v>0</v>
      </c>
    </row>
    <row r="112" spans="1:35" x14ac:dyDescent="0.35">
      <c r="A112" t="s">
        <v>160</v>
      </c>
      <c r="B112" t="s">
        <v>159</v>
      </c>
      <c r="C112" t="s">
        <v>63</v>
      </c>
      <c r="D112" t="s">
        <v>52</v>
      </c>
      <c r="E112" t="s">
        <v>52</v>
      </c>
      <c r="F112" t="s">
        <v>52</v>
      </c>
      <c r="G112" t="s">
        <v>35</v>
      </c>
      <c r="H112" t="s">
        <v>37</v>
      </c>
      <c r="I112" t="s">
        <v>35</v>
      </c>
      <c r="J112" t="s">
        <v>35</v>
      </c>
      <c r="K112" t="s">
        <v>35</v>
      </c>
      <c r="L112" t="s">
        <v>35</v>
      </c>
      <c r="M112" t="s">
        <v>35</v>
      </c>
      <c r="N112" t="s">
        <v>35</v>
      </c>
      <c r="O112" t="str">
        <f t="shared" si="4"/>
        <v>False</v>
      </c>
      <c r="P112" s="3">
        <v>647983.70549999992</v>
      </c>
      <c r="Q112" s="3">
        <v>32170.64418904611</v>
      </c>
      <c r="R112" s="3">
        <v>17978.148809599272</v>
      </c>
      <c r="S112" s="3">
        <v>23491.616287107619</v>
      </c>
      <c r="T112" s="3">
        <v>1661.756680776625</v>
      </c>
      <c r="U112">
        <v>0.33310429946929437</v>
      </c>
      <c r="V112" s="3">
        <v>-255185.59569248199</v>
      </c>
      <c r="W112">
        <v>32.993219128143473</v>
      </c>
      <c r="X112">
        <v>93.655746906137239</v>
      </c>
      <c r="Y112">
        <v>47.751812165549751</v>
      </c>
      <c r="Z112" s="5">
        <v>0.3376892471592825</v>
      </c>
      <c r="AA112">
        <v>12.766595815994719</v>
      </c>
      <c r="AB112">
        <v>490.13035687177899</v>
      </c>
      <c r="AC112">
        <v>215.84615828809501</v>
      </c>
      <c r="AD112" s="5">
        <v>0.30574127276629731</v>
      </c>
      <c r="AE112">
        <v>66.811662605204333</v>
      </c>
      <c r="AF112">
        <v>29.422867814625821</v>
      </c>
      <c r="AG112">
        <v>6.5092437521196551</v>
      </c>
      <c r="AH112" t="str">
        <f t="shared" si="3"/>
        <v>False</v>
      </c>
      <c r="AI112">
        <v>13</v>
      </c>
    </row>
    <row r="113" spans="1:35" x14ac:dyDescent="0.35">
      <c r="A113" t="s">
        <v>161</v>
      </c>
      <c r="B113" t="s">
        <v>159</v>
      </c>
      <c r="C113" t="s">
        <v>63</v>
      </c>
      <c r="D113" t="s">
        <v>52</v>
      </c>
      <c r="E113" t="s">
        <v>52</v>
      </c>
      <c r="F113" t="s">
        <v>52</v>
      </c>
      <c r="G113" t="s">
        <v>35</v>
      </c>
      <c r="H113" t="s">
        <v>37</v>
      </c>
      <c r="I113" t="s">
        <v>35</v>
      </c>
      <c r="J113" t="s">
        <v>37</v>
      </c>
      <c r="K113" t="s">
        <v>37</v>
      </c>
      <c r="L113" t="s">
        <v>35</v>
      </c>
      <c r="M113" t="s">
        <v>35</v>
      </c>
      <c r="N113" t="s">
        <v>37</v>
      </c>
      <c r="O113" t="str">
        <f t="shared" si="4"/>
        <v>True</v>
      </c>
      <c r="P113" s="3">
        <v>2379947.37</v>
      </c>
      <c r="Q113" s="3">
        <v>18079.642259301541</v>
      </c>
      <c r="R113" s="3">
        <v>32069.15073934383</v>
      </c>
      <c r="S113" s="3">
        <v>22397.001808625879</v>
      </c>
      <c r="T113" s="3">
        <v>2756.3711592583709</v>
      </c>
      <c r="U113">
        <v>0.161335811690619</v>
      </c>
      <c r="V113" s="3">
        <v>-1683436.932027956</v>
      </c>
      <c r="W113">
        <v>68.339173119341652</v>
      </c>
      <c r="X113">
        <v>56.311734759004182</v>
      </c>
      <c r="Y113">
        <v>85.095824312682808</v>
      </c>
      <c r="Z113" s="5">
        <v>0.60177705400842985</v>
      </c>
      <c r="AA113">
        <v>7.6760816192753794</v>
      </c>
      <c r="AB113">
        <v>322.00577443997003</v>
      </c>
      <c r="AC113">
        <v>383.97074071990397</v>
      </c>
      <c r="AD113" s="5">
        <v>0.54388599687760253</v>
      </c>
      <c r="AE113">
        <v>43.89391690839286</v>
      </c>
      <c r="AF113">
        <v>52.34061351143729</v>
      </c>
      <c r="AG113">
        <v>11.59975794883899</v>
      </c>
      <c r="AH113" t="str">
        <f t="shared" si="3"/>
        <v>True</v>
      </c>
      <c r="AI113">
        <v>13</v>
      </c>
    </row>
    <row r="114" spans="1:35" x14ac:dyDescent="0.35">
      <c r="A114" t="s">
        <v>162</v>
      </c>
      <c r="B114" t="s">
        <v>159</v>
      </c>
      <c r="C114" t="s">
        <v>63</v>
      </c>
      <c r="D114" t="s">
        <v>39</v>
      </c>
      <c r="E114" t="s">
        <v>39</v>
      </c>
      <c r="F114" t="s">
        <v>39</v>
      </c>
      <c r="G114" t="s">
        <v>35</v>
      </c>
      <c r="H114" t="s">
        <v>35</v>
      </c>
      <c r="I114" t="s">
        <v>35</v>
      </c>
      <c r="J114" t="s">
        <v>35</v>
      </c>
      <c r="K114" t="s">
        <v>37</v>
      </c>
      <c r="L114" t="s">
        <v>35</v>
      </c>
      <c r="M114" t="s">
        <v>35</v>
      </c>
      <c r="N114" t="s">
        <v>35</v>
      </c>
      <c r="O114" t="str">
        <f t="shared" si="4"/>
        <v>False</v>
      </c>
      <c r="P114" s="3">
        <v>82428</v>
      </c>
      <c r="Q114" s="3">
        <v>48267.43318082617</v>
      </c>
      <c r="R114" s="3">
        <v>1881.359817819209</v>
      </c>
      <c r="S114" s="3">
        <v>24982.13578453831</v>
      </c>
      <c r="T114" s="3">
        <v>171.23718334593869</v>
      </c>
      <c r="U114">
        <v>0.27386551560359451</v>
      </c>
      <c r="V114" s="3">
        <v>-41376.059976697041</v>
      </c>
      <c r="W114">
        <v>40.157907252719397</v>
      </c>
      <c r="X114">
        <v>136.411538195753</v>
      </c>
      <c r="Y114">
        <v>4.996020875933965</v>
      </c>
      <c r="Z114" s="5">
        <v>3.5330649285878798E-2</v>
      </c>
      <c r="AA114">
        <v>18.594811640642451</v>
      </c>
      <c r="AB114">
        <v>683.40232843970091</v>
      </c>
      <c r="AC114">
        <v>22.574186720173088</v>
      </c>
      <c r="AD114" s="5">
        <v>3.1975832390204899E-2</v>
      </c>
      <c r="AE114">
        <v>93.157351204975583</v>
      </c>
      <c r="AF114">
        <v>3.0771792148545649</v>
      </c>
      <c r="AG114">
        <v>0.68102792747191998</v>
      </c>
      <c r="AH114" t="str">
        <f t="shared" si="3"/>
        <v>False</v>
      </c>
      <c r="AI114">
        <v>10</v>
      </c>
    </row>
    <row r="115" spans="1:35" x14ac:dyDescent="0.35">
      <c r="A115" t="s">
        <v>163</v>
      </c>
      <c r="B115" t="s">
        <v>159</v>
      </c>
      <c r="C115" t="s">
        <v>63</v>
      </c>
      <c r="D115" t="s">
        <v>52</v>
      </c>
      <c r="E115" t="s">
        <v>52</v>
      </c>
      <c r="F115" t="s">
        <v>52</v>
      </c>
      <c r="G115" t="s">
        <v>35</v>
      </c>
      <c r="H115" t="s">
        <v>35</v>
      </c>
      <c r="I115" t="s">
        <v>35</v>
      </c>
      <c r="J115" t="s">
        <v>37</v>
      </c>
      <c r="K115" t="s">
        <v>35</v>
      </c>
      <c r="L115" t="s">
        <v>35</v>
      </c>
      <c r="M115" t="s">
        <v>35</v>
      </c>
      <c r="N115" t="s">
        <v>35</v>
      </c>
      <c r="O115" t="str">
        <f t="shared" si="4"/>
        <v>False</v>
      </c>
      <c r="P115" s="3">
        <v>1619959.2637499999</v>
      </c>
      <c r="Q115" s="3">
        <v>37494.556779001039</v>
      </c>
      <c r="R115" s="3">
        <v>12654.236219644339</v>
      </c>
      <c r="S115" s="3">
        <v>23983.752924697019</v>
      </c>
      <c r="T115" s="3">
        <v>1169.620043187228</v>
      </c>
      <c r="U115">
        <v>9.3784413318461102E-2</v>
      </c>
      <c r="V115" s="3">
        <v>-1343482.1384933691</v>
      </c>
      <c r="W115">
        <v>117.18577167975999</v>
      </c>
      <c r="X115">
        <v>107.7966209210411</v>
      </c>
      <c r="Y115">
        <v>33.610938150645879</v>
      </c>
      <c r="Z115" s="5">
        <v>0.23768841192999249</v>
      </c>
      <c r="AA115">
        <v>14.694195872551949</v>
      </c>
      <c r="AB115">
        <v>554.04958600927398</v>
      </c>
      <c r="AC115">
        <v>151.92692915059999</v>
      </c>
      <c r="AD115" s="5">
        <v>0.21520110922697611</v>
      </c>
      <c r="AE115">
        <v>75.524752727545533</v>
      </c>
      <c r="AF115">
        <v>20.709777692284629</v>
      </c>
      <c r="AG115">
        <v>4.5816436955624198</v>
      </c>
      <c r="AH115" t="str">
        <f t="shared" si="3"/>
        <v>True</v>
      </c>
      <c r="AI115">
        <v>7</v>
      </c>
    </row>
    <row r="116" spans="1:35" x14ac:dyDescent="0.35">
      <c r="A116" t="s">
        <v>164</v>
      </c>
      <c r="B116" t="s">
        <v>159</v>
      </c>
      <c r="C116" t="s">
        <v>63</v>
      </c>
      <c r="D116" t="s">
        <v>52</v>
      </c>
      <c r="E116" t="s">
        <v>39</v>
      </c>
      <c r="F116" t="s">
        <v>39</v>
      </c>
      <c r="G116" t="s">
        <v>35</v>
      </c>
      <c r="H116" t="s">
        <v>35</v>
      </c>
      <c r="I116" t="s">
        <v>35</v>
      </c>
      <c r="J116" t="s">
        <v>35</v>
      </c>
      <c r="K116" t="s">
        <v>35</v>
      </c>
      <c r="L116" t="s">
        <v>35</v>
      </c>
      <c r="M116" t="s">
        <v>37</v>
      </c>
      <c r="N116" t="s">
        <v>35</v>
      </c>
      <c r="O116" t="str">
        <f t="shared" si="4"/>
        <v>False</v>
      </c>
      <c r="P116" s="3">
        <v>700150</v>
      </c>
      <c r="Q116" s="3">
        <v>42102.491022194758</v>
      </c>
      <c r="R116" s="3">
        <v>8046.3019764506189</v>
      </c>
      <c r="S116" s="3">
        <v>25894.151440397411</v>
      </c>
      <c r="T116" s="3">
        <v>-740.77847251316143</v>
      </c>
      <c r="U116">
        <v>0.1272407314137956</v>
      </c>
      <c r="V116" s="3">
        <v>-554039.52992125088</v>
      </c>
      <c r="W116">
        <v>95.838443285089724</v>
      </c>
      <c r="X116">
        <v>120.6295592958799</v>
      </c>
      <c r="Y116">
        <v>20.777999775807132</v>
      </c>
      <c r="Z116" s="5">
        <v>0.1469369806834277</v>
      </c>
      <c r="AA116">
        <v>16.44350590183749</v>
      </c>
      <c r="AB116">
        <v>616.88891706050504</v>
      </c>
      <c r="AC116">
        <v>89.087598099368961</v>
      </c>
      <c r="AD116" s="5">
        <v>0.12619059725973231</v>
      </c>
      <c r="AE116">
        <v>84.090637549141903</v>
      </c>
      <c r="AF116">
        <v>12.143892870688241</v>
      </c>
      <c r="AG116">
        <v>2.832333666276877</v>
      </c>
      <c r="AH116" t="str">
        <f t="shared" si="3"/>
        <v>False</v>
      </c>
      <c r="AI116">
        <v>0</v>
      </c>
    </row>
    <row r="117" spans="1:35" x14ac:dyDescent="0.35">
      <c r="A117" t="s">
        <v>165</v>
      </c>
      <c r="B117" t="s">
        <v>159</v>
      </c>
      <c r="C117" t="s">
        <v>63</v>
      </c>
      <c r="D117" t="s">
        <v>52</v>
      </c>
      <c r="E117" t="s">
        <v>39</v>
      </c>
      <c r="F117" t="s">
        <v>39</v>
      </c>
      <c r="G117" t="s">
        <v>35</v>
      </c>
      <c r="H117" t="s">
        <v>35</v>
      </c>
      <c r="I117" t="s">
        <v>35</v>
      </c>
      <c r="J117" t="s">
        <v>35</v>
      </c>
      <c r="K117" t="s">
        <v>35</v>
      </c>
      <c r="L117" t="s">
        <v>35</v>
      </c>
      <c r="M117" t="s">
        <v>35</v>
      </c>
      <c r="N117" t="s">
        <v>37</v>
      </c>
      <c r="O117" t="str">
        <f t="shared" si="4"/>
        <v>False</v>
      </c>
      <c r="P117" s="3">
        <v>68502.2</v>
      </c>
      <c r="Q117" s="3">
        <v>44639.550531194836</v>
      </c>
      <c r="R117" s="3">
        <v>5509.2424674505373</v>
      </c>
      <c r="S117" s="3">
        <v>25153.37296533749</v>
      </c>
      <c r="T117" s="3">
        <v>2.5467626230124552E-6</v>
      </c>
      <c r="U117">
        <v>0.92793716834751361</v>
      </c>
      <c r="V117" s="3">
        <v>41682.649399945993</v>
      </c>
      <c r="W117">
        <v>12.434050665414549</v>
      </c>
      <c r="X117">
        <v>126.97813666255389</v>
      </c>
      <c r="Y117">
        <v>14.429422409133069</v>
      </c>
      <c r="Z117" s="5">
        <v>0.1020413795688109</v>
      </c>
      <c r="AA117">
        <v>17.308906306236899</v>
      </c>
      <c r="AB117">
        <v>642.41077766629894</v>
      </c>
      <c r="AC117">
        <v>63.565737493575057</v>
      </c>
      <c r="AD117" s="5">
        <v>9.0039450503789198E-2</v>
      </c>
      <c r="AE117">
        <v>87.56962618133845</v>
      </c>
      <c r="AF117">
        <v>8.6649042384916921</v>
      </c>
      <c r="AG117">
        <v>1.966933261877468</v>
      </c>
      <c r="AH117" t="str">
        <f t="shared" si="3"/>
        <v>False</v>
      </c>
      <c r="AI117">
        <v>0</v>
      </c>
    </row>
    <row r="118" spans="1:35" x14ac:dyDescent="0.35">
      <c r="A118" t="s">
        <v>166</v>
      </c>
      <c r="B118" t="s">
        <v>159</v>
      </c>
      <c r="C118" t="s">
        <v>63</v>
      </c>
      <c r="D118" t="s">
        <v>52</v>
      </c>
      <c r="E118" t="s">
        <v>52</v>
      </c>
      <c r="F118" t="s">
        <v>52</v>
      </c>
      <c r="G118" t="s">
        <v>35</v>
      </c>
      <c r="H118" t="s">
        <v>37</v>
      </c>
      <c r="I118" t="s">
        <v>35</v>
      </c>
      <c r="J118" t="s">
        <v>35</v>
      </c>
      <c r="K118" t="s">
        <v>37</v>
      </c>
      <c r="L118" t="s">
        <v>35</v>
      </c>
      <c r="M118" t="s">
        <v>35</v>
      </c>
      <c r="N118" t="s">
        <v>35</v>
      </c>
      <c r="O118" t="str">
        <f t="shared" si="4"/>
        <v>True</v>
      </c>
      <c r="P118" s="3">
        <v>730411.70549999992</v>
      </c>
      <c r="Q118" s="3">
        <v>30583.643074217329</v>
      </c>
      <c r="R118" s="3">
        <v>19565.149924428049</v>
      </c>
      <c r="S118" s="3">
        <v>23347.466620164421</v>
      </c>
      <c r="T118" s="3">
        <v>1805.906347719831</v>
      </c>
      <c r="U118">
        <v>0.32158147974950818</v>
      </c>
      <c r="V118" s="3">
        <v>-302990.58005704219</v>
      </c>
      <c r="W118">
        <v>34.177613693896767</v>
      </c>
      <c r="X118">
        <v>89.441524756376992</v>
      </c>
      <c r="Y118">
        <v>51.966034315309997</v>
      </c>
      <c r="Z118" s="5">
        <v>0.36749120525420892</v>
      </c>
      <c r="AA118">
        <v>12.19213805294125</v>
      </c>
      <c r="AB118">
        <v>471.08963807882202</v>
      </c>
      <c r="AC118">
        <v>234.88687708105201</v>
      </c>
      <c r="AD118" s="5">
        <v>0.33271202658612509</v>
      </c>
      <c r="AE118">
        <v>64.216144776284352</v>
      </c>
      <c r="AF118">
        <v>32.018385643545798</v>
      </c>
      <c r="AG118">
        <v>7.0837015151731233</v>
      </c>
      <c r="AH118" t="str">
        <f t="shared" si="3"/>
        <v>False</v>
      </c>
      <c r="AI118">
        <v>13</v>
      </c>
    </row>
    <row r="119" spans="1:35" x14ac:dyDescent="0.35">
      <c r="A119" t="s">
        <v>167</v>
      </c>
      <c r="B119" t="s">
        <v>159</v>
      </c>
      <c r="C119" t="s">
        <v>63</v>
      </c>
      <c r="D119" t="s">
        <v>52</v>
      </c>
      <c r="E119" t="s">
        <v>52</v>
      </c>
      <c r="F119" t="s">
        <v>52</v>
      </c>
      <c r="G119" t="s">
        <v>35</v>
      </c>
      <c r="H119" t="s">
        <v>37</v>
      </c>
      <c r="I119" t="s">
        <v>35</v>
      </c>
      <c r="J119" t="s">
        <v>35</v>
      </c>
      <c r="K119" t="s">
        <v>37</v>
      </c>
      <c r="L119" t="s">
        <v>35</v>
      </c>
      <c r="M119" t="s">
        <v>35</v>
      </c>
      <c r="N119" t="s">
        <v>37</v>
      </c>
      <c r="O119" t="str">
        <f t="shared" si="4"/>
        <v>True</v>
      </c>
      <c r="P119" s="3">
        <v>771075.57</v>
      </c>
      <c r="Q119" s="3">
        <v>27224.6597782973</v>
      </c>
      <c r="R119" s="3">
        <v>22924.133220348071</v>
      </c>
      <c r="S119" s="3">
        <v>23347.466616103229</v>
      </c>
      <c r="T119" s="3">
        <v>1805.9063517810221</v>
      </c>
      <c r="U119">
        <v>0.35488465294548749</v>
      </c>
      <c r="V119" s="3">
        <v>-276474.77855741797</v>
      </c>
      <c r="W119">
        <v>31.179714361193611</v>
      </c>
      <c r="X119">
        <v>80.643910722517063</v>
      </c>
      <c r="Y119">
        <v>60.763648349169927</v>
      </c>
      <c r="Z119" s="5">
        <v>0.42970580036931127</v>
      </c>
      <c r="AA119">
        <v>10.99289949870734</v>
      </c>
      <c r="AB119">
        <v>432.33362910568002</v>
      </c>
      <c r="AC119">
        <v>273.64288605419398</v>
      </c>
      <c r="AD119" s="5">
        <v>0.38760904956197501</v>
      </c>
      <c r="AE119">
        <v>58.933155548756822</v>
      </c>
      <c r="AF119">
        <v>37.301374871073342</v>
      </c>
      <c r="AG119">
        <v>8.2829400694070294</v>
      </c>
      <c r="AH119" t="str">
        <f t="shared" si="3"/>
        <v>False</v>
      </c>
      <c r="AI119">
        <v>13</v>
      </c>
    </row>
    <row r="120" spans="1:35" x14ac:dyDescent="0.35">
      <c r="A120" t="s">
        <v>168</v>
      </c>
      <c r="B120" t="s">
        <v>159</v>
      </c>
      <c r="C120" t="s">
        <v>63</v>
      </c>
      <c r="D120" t="s">
        <v>52</v>
      </c>
      <c r="E120" t="s">
        <v>52</v>
      </c>
      <c r="F120" t="s">
        <v>52</v>
      </c>
      <c r="G120" t="s">
        <v>35</v>
      </c>
      <c r="H120" t="s">
        <v>37</v>
      </c>
      <c r="I120" t="s">
        <v>35</v>
      </c>
      <c r="J120" t="s">
        <v>37</v>
      </c>
      <c r="K120" t="s">
        <v>37</v>
      </c>
      <c r="L120" t="s">
        <v>35</v>
      </c>
      <c r="M120" t="s">
        <v>35</v>
      </c>
      <c r="N120" t="s">
        <v>35</v>
      </c>
      <c r="O120" t="str">
        <f t="shared" si="4"/>
        <v>True</v>
      </c>
      <c r="P120" s="3">
        <v>2350370.9692500001</v>
      </c>
      <c r="Q120" s="3">
        <v>20312.47624775314</v>
      </c>
      <c r="R120" s="3">
        <v>29836.316750892242</v>
      </c>
      <c r="S120" s="3">
        <v>22397.00099820576</v>
      </c>
      <c r="T120" s="3">
        <v>2756.371969678491</v>
      </c>
      <c r="U120">
        <v>0.1524049910745067</v>
      </c>
      <c r="V120" s="3">
        <v>-1698517.1948385851</v>
      </c>
      <c r="W120">
        <v>72.113442048325822</v>
      </c>
      <c r="X120">
        <v>62.159816993720547</v>
      </c>
      <c r="Y120">
        <v>79.247742077966436</v>
      </c>
      <c r="Z120" s="5">
        <v>0.56042083321579406</v>
      </c>
      <c r="AA120">
        <v>8.473257496417741</v>
      </c>
      <c r="AB120">
        <v>347.76824856954801</v>
      </c>
      <c r="AC120">
        <v>358.20826659032599</v>
      </c>
      <c r="AD120" s="5">
        <v>0.5073940264276452</v>
      </c>
      <c r="AE120">
        <v>47.405704548738832</v>
      </c>
      <c r="AF120">
        <v>48.828825871091333</v>
      </c>
      <c r="AG120">
        <v>10.80258207169663</v>
      </c>
      <c r="AH120" t="str">
        <f t="shared" si="3"/>
        <v>True</v>
      </c>
      <c r="AI120">
        <v>13</v>
      </c>
    </row>
    <row r="121" spans="1:35" x14ac:dyDescent="0.35">
      <c r="A121" t="s">
        <v>169</v>
      </c>
      <c r="B121" t="s">
        <v>159</v>
      </c>
      <c r="C121" t="s">
        <v>63</v>
      </c>
      <c r="D121" t="s">
        <v>52</v>
      </c>
      <c r="E121" t="s">
        <v>52</v>
      </c>
      <c r="F121" t="s">
        <v>52</v>
      </c>
      <c r="G121" t="s">
        <v>35</v>
      </c>
      <c r="H121" t="s">
        <v>37</v>
      </c>
      <c r="I121" t="s">
        <v>35</v>
      </c>
      <c r="J121" t="s">
        <v>35</v>
      </c>
      <c r="K121" t="s">
        <v>37</v>
      </c>
      <c r="L121" t="s">
        <v>35</v>
      </c>
      <c r="M121" t="s">
        <v>37</v>
      </c>
      <c r="N121" t="s">
        <v>35</v>
      </c>
      <c r="O121" t="str">
        <f t="shared" si="4"/>
        <v>True</v>
      </c>
      <c r="P121" s="3">
        <v>1430561.7054999999</v>
      </c>
      <c r="Q121" s="3">
        <v>23573.906682221492</v>
      </c>
      <c r="R121" s="3">
        <v>26574.88631642389</v>
      </c>
      <c r="S121" s="3">
        <v>22696.317552639041</v>
      </c>
      <c r="T121" s="3">
        <v>2457.0554152452141</v>
      </c>
      <c r="U121">
        <v>0.2230328801630703</v>
      </c>
      <c r="V121" s="3">
        <v>-849922.87086661789</v>
      </c>
      <c r="W121">
        <v>49.275440090164238</v>
      </c>
      <c r="X121">
        <v>70.821654018451227</v>
      </c>
      <c r="Y121">
        <v>70.585905053235763</v>
      </c>
      <c r="Z121" s="5">
        <v>0.49916642021557012</v>
      </c>
      <c r="AA121">
        <v>9.6539877342490765</v>
      </c>
      <c r="AB121">
        <v>386.91421773121499</v>
      </c>
      <c r="AC121">
        <v>319.06229742865901</v>
      </c>
      <c r="AD121" s="5">
        <v>0.45194463353558562</v>
      </c>
      <c r="AE121">
        <v>52.741850835770848</v>
      </c>
      <c r="AF121">
        <v>43.492679584059303</v>
      </c>
      <c r="AG121">
        <v>9.6218518338652963</v>
      </c>
      <c r="AH121" t="str">
        <f t="shared" si="3"/>
        <v>False</v>
      </c>
      <c r="AI121">
        <v>13</v>
      </c>
    </row>
    <row r="122" spans="1:35" x14ac:dyDescent="0.35">
      <c r="A122" t="s">
        <v>170</v>
      </c>
      <c r="B122" t="s">
        <v>171</v>
      </c>
      <c r="C122" t="s">
        <v>63</v>
      </c>
      <c r="D122" t="s">
        <v>39</v>
      </c>
      <c r="E122" t="s">
        <v>39</v>
      </c>
      <c r="F122" t="s">
        <v>39</v>
      </c>
      <c r="G122" t="s">
        <v>35</v>
      </c>
      <c r="H122" t="s">
        <v>35</v>
      </c>
      <c r="I122" t="s">
        <v>35</v>
      </c>
      <c r="J122" t="s">
        <v>35</v>
      </c>
      <c r="K122" t="s">
        <v>35</v>
      </c>
      <c r="L122" t="s">
        <v>35</v>
      </c>
      <c r="M122" t="s">
        <v>35</v>
      </c>
      <c r="N122" t="s">
        <v>35</v>
      </c>
      <c r="O122" t="str">
        <f t="shared" si="4"/>
        <v>False</v>
      </c>
      <c r="P122" s="3">
        <v>0</v>
      </c>
      <c r="Q122" s="3">
        <v>30399.458470800171</v>
      </c>
      <c r="R122" s="3">
        <v>0</v>
      </c>
      <c r="S122" s="3">
        <v>21095.188440694848</v>
      </c>
      <c r="T122" s="3">
        <v>0</v>
      </c>
      <c r="U122">
        <v>0</v>
      </c>
      <c r="V122" s="3">
        <v>0</v>
      </c>
      <c r="W122">
        <v>0</v>
      </c>
      <c r="X122">
        <v>88.058210058078302</v>
      </c>
      <c r="Y122">
        <v>0</v>
      </c>
      <c r="Z122" s="5">
        <v>0</v>
      </c>
      <c r="AA122">
        <v>19.44748455346252</v>
      </c>
      <c r="AB122">
        <v>457.560572702689</v>
      </c>
      <c r="AC122">
        <v>0</v>
      </c>
      <c r="AD122" s="5">
        <v>0</v>
      </c>
      <c r="AE122">
        <v>101.05136322939239</v>
      </c>
      <c r="AF122">
        <v>0</v>
      </c>
      <c r="AG122">
        <v>-3.5527136788005009E-15</v>
      </c>
      <c r="AH122" t="str">
        <f t="shared" si="3"/>
        <v>False</v>
      </c>
      <c r="AI122">
        <v>0</v>
      </c>
    </row>
    <row r="123" spans="1:35" x14ac:dyDescent="0.35">
      <c r="A123" t="s">
        <v>172</v>
      </c>
      <c r="B123" t="s">
        <v>171</v>
      </c>
      <c r="C123" t="s">
        <v>63</v>
      </c>
      <c r="D123" t="s">
        <v>52</v>
      </c>
      <c r="E123" t="s">
        <v>52</v>
      </c>
      <c r="F123" t="s">
        <v>52</v>
      </c>
      <c r="G123" t="s">
        <v>37</v>
      </c>
      <c r="H123" t="s">
        <v>35</v>
      </c>
      <c r="I123" t="s">
        <v>35</v>
      </c>
      <c r="J123" t="s">
        <v>35</v>
      </c>
      <c r="K123" t="s">
        <v>35</v>
      </c>
      <c r="L123" t="s">
        <v>35</v>
      </c>
      <c r="M123" t="s">
        <v>35</v>
      </c>
      <c r="N123" t="s">
        <v>35</v>
      </c>
      <c r="O123" t="str">
        <f t="shared" si="4"/>
        <v>False</v>
      </c>
      <c r="P123" s="3">
        <v>138818.11499999999</v>
      </c>
      <c r="Q123" s="3">
        <v>16361.49552319768</v>
      </c>
      <c r="R123" s="3">
        <v>14037.962947602489</v>
      </c>
      <c r="S123" s="3">
        <v>19795.79300020693</v>
      </c>
      <c r="T123" s="3">
        <v>1299.3954404879189</v>
      </c>
      <c r="U123">
        <v>1.214174989653469</v>
      </c>
      <c r="V123" s="3">
        <v>167929.0527618081</v>
      </c>
      <c r="W123">
        <v>9.0509794116693207</v>
      </c>
      <c r="X123">
        <v>50.771201517215268</v>
      </c>
      <c r="Y123">
        <v>37.287008540863027</v>
      </c>
      <c r="Z123" s="5">
        <v>0.42343591263404728</v>
      </c>
      <c r="AA123">
        <v>11.212721183130579</v>
      </c>
      <c r="AB123">
        <v>289.01108935884997</v>
      </c>
      <c r="AC123">
        <v>168.549483343839</v>
      </c>
      <c r="AD123" s="5">
        <v>0.36836539990380268</v>
      </c>
      <c r="AE123">
        <v>63.827537402572872</v>
      </c>
      <c r="AF123">
        <v>37.223825826819578</v>
      </c>
      <c r="AG123">
        <v>8.2347633703319385</v>
      </c>
      <c r="AH123" t="str">
        <f t="shared" si="3"/>
        <v>True</v>
      </c>
      <c r="AI123">
        <v>10</v>
      </c>
    </row>
    <row r="124" spans="1:35" x14ac:dyDescent="0.35">
      <c r="A124" t="s">
        <v>173</v>
      </c>
      <c r="B124" t="s">
        <v>171</v>
      </c>
      <c r="C124" t="s">
        <v>63</v>
      </c>
      <c r="D124" t="s">
        <v>52</v>
      </c>
      <c r="E124" t="s">
        <v>77</v>
      </c>
      <c r="F124" t="s">
        <v>52</v>
      </c>
      <c r="G124" t="s">
        <v>35</v>
      </c>
      <c r="H124" t="s">
        <v>37</v>
      </c>
      <c r="I124" t="s">
        <v>37</v>
      </c>
      <c r="J124" t="s">
        <v>35</v>
      </c>
      <c r="K124" t="s">
        <v>35</v>
      </c>
      <c r="L124" t="s">
        <v>37</v>
      </c>
      <c r="M124" t="s">
        <v>37</v>
      </c>
      <c r="N124" t="s">
        <v>37</v>
      </c>
      <c r="O124" t="str">
        <f t="shared" si="4"/>
        <v>True</v>
      </c>
      <c r="P124" s="3">
        <v>1667885.7960000001</v>
      </c>
      <c r="Q124" s="3">
        <v>4352.1838289919224</v>
      </c>
      <c r="R124" s="3">
        <v>26047.27464180825</v>
      </c>
      <c r="S124" s="3">
        <v>18732.36534102503</v>
      </c>
      <c r="T124" s="3">
        <v>2362.823099669823</v>
      </c>
      <c r="U124">
        <v>0.18736149660427209</v>
      </c>
      <c r="V124" s="3">
        <v>-1099683.841170439</v>
      </c>
      <c r="W124">
        <v>58.707499396066012</v>
      </c>
      <c r="X124">
        <v>18.891881514062788</v>
      </c>
      <c r="Y124">
        <v>69.166328544015514</v>
      </c>
      <c r="Z124" s="5">
        <v>0.78546144077193081</v>
      </c>
      <c r="AA124">
        <v>4.1722353167099806</v>
      </c>
      <c r="AB124">
        <v>145.0629937991213</v>
      </c>
      <c r="AC124">
        <v>312.49757890356773</v>
      </c>
      <c r="AD124" s="5">
        <v>0.68296439323372504</v>
      </c>
      <c r="AE124">
        <v>32.036880255989693</v>
      </c>
      <c r="AF124">
        <v>69.014482973402764</v>
      </c>
      <c r="AG124">
        <v>15.27524923675254</v>
      </c>
      <c r="AH124" t="str">
        <f t="shared" si="3"/>
        <v>True</v>
      </c>
      <c r="AI124">
        <v>10</v>
      </c>
    </row>
    <row r="125" spans="1:35" x14ac:dyDescent="0.35">
      <c r="A125" t="s">
        <v>174</v>
      </c>
      <c r="B125" t="s">
        <v>171</v>
      </c>
      <c r="C125" t="s">
        <v>63</v>
      </c>
      <c r="D125" t="s">
        <v>52</v>
      </c>
      <c r="E125" t="s">
        <v>52</v>
      </c>
      <c r="F125" t="s">
        <v>52</v>
      </c>
      <c r="G125" t="s">
        <v>35</v>
      </c>
      <c r="H125" t="s">
        <v>37</v>
      </c>
      <c r="I125" t="s">
        <v>35</v>
      </c>
      <c r="J125" t="s">
        <v>35</v>
      </c>
      <c r="K125" t="s">
        <v>35</v>
      </c>
      <c r="L125" t="s">
        <v>35</v>
      </c>
      <c r="M125" t="s">
        <v>35</v>
      </c>
      <c r="N125" t="s">
        <v>35</v>
      </c>
      <c r="O125" t="str">
        <f t="shared" si="4"/>
        <v>False</v>
      </c>
      <c r="P125" s="3">
        <v>333163.47600000002</v>
      </c>
      <c r="Q125" s="3">
        <v>16361.49552319768</v>
      </c>
      <c r="R125" s="3">
        <v>14037.962947602489</v>
      </c>
      <c r="S125" s="3">
        <v>19795.79300020693</v>
      </c>
      <c r="T125" s="3">
        <v>1299.3954404879189</v>
      </c>
      <c r="U125">
        <v>0.50590624568894527</v>
      </c>
      <c r="V125" s="3">
        <v>-26416.308238191941</v>
      </c>
      <c r="W125">
        <v>21.722350588006371</v>
      </c>
      <c r="X125">
        <v>50.771201517215268</v>
      </c>
      <c r="Y125">
        <v>37.287008540863027</v>
      </c>
      <c r="Z125" s="5">
        <v>0.42343591263404728</v>
      </c>
      <c r="AA125">
        <v>11.212721183130579</v>
      </c>
      <c r="AB125">
        <v>289.01108935884997</v>
      </c>
      <c r="AC125">
        <v>168.549483343839</v>
      </c>
      <c r="AD125" s="5">
        <v>0.36836539990380268</v>
      </c>
      <c r="AE125">
        <v>63.827537402572872</v>
      </c>
      <c r="AF125">
        <v>37.223825826819578</v>
      </c>
      <c r="AG125">
        <v>8.2347633703319385</v>
      </c>
      <c r="AH125" t="str">
        <f t="shared" si="3"/>
        <v>False</v>
      </c>
      <c r="AI125">
        <v>7</v>
      </c>
    </row>
    <row r="126" spans="1:35" x14ac:dyDescent="0.35">
      <c r="A126" t="s">
        <v>175</v>
      </c>
      <c r="B126" t="s">
        <v>171</v>
      </c>
      <c r="C126" t="s">
        <v>63</v>
      </c>
      <c r="D126" t="s">
        <v>39</v>
      </c>
      <c r="E126" t="s">
        <v>39</v>
      </c>
      <c r="F126" t="s">
        <v>39</v>
      </c>
      <c r="G126" t="s">
        <v>35</v>
      </c>
      <c r="H126" t="s">
        <v>35</v>
      </c>
      <c r="I126" t="s">
        <v>35</v>
      </c>
      <c r="J126" t="s">
        <v>35</v>
      </c>
      <c r="K126" t="s">
        <v>35</v>
      </c>
      <c r="L126" t="s">
        <v>37</v>
      </c>
      <c r="M126" t="s">
        <v>35</v>
      </c>
      <c r="N126" t="s">
        <v>35</v>
      </c>
      <c r="O126" t="str">
        <f t="shared" si="4"/>
        <v>False</v>
      </c>
      <c r="P126" s="3">
        <v>288505.98</v>
      </c>
      <c r="Q126" s="3">
        <v>25578.470085743011</v>
      </c>
      <c r="R126" s="3">
        <v>4820.9883850571623</v>
      </c>
      <c r="S126" s="3">
        <v>20648.258278182329</v>
      </c>
      <c r="T126" s="3">
        <v>446.93016251252737</v>
      </c>
      <c r="U126">
        <v>0.20064605655820039</v>
      </c>
      <c r="V126" s="3">
        <v>-183147.60904860619</v>
      </c>
      <c r="W126">
        <v>54.766598495168417</v>
      </c>
      <c r="X126">
        <v>75.252642522807051</v>
      </c>
      <c r="Y126">
        <v>12.805567535271249</v>
      </c>
      <c r="Z126" s="5">
        <v>0.1454216197084339</v>
      </c>
      <c r="AA126">
        <v>16.619399850443251</v>
      </c>
      <c r="AB126">
        <v>399.67298552223002</v>
      </c>
      <c r="AC126">
        <v>57.887587180459043</v>
      </c>
      <c r="AD126" s="5">
        <v>0.12651349489868061</v>
      </c>
      <c r="AE126">
        <v>88.267002102965989</v>
      </c>
      <c r="AF126">
        <v>12.784361126426459</v>
      </c>
      <c r="AG126">
        <v>2.8280847030192682</v>
      </c>
      <c r="AH126" t="str">
        <f t="shared" si="3"/>
        <v>False</v>
      </c>
      <c r="AI126">
        <v>10</v>
      </c>
    </row>
    <row r="127" spans="1:35" x14ac:dyDescent="0.35">
      <c r="A127" t="s">
        <v>176</v>
      </c>
      <c r="B127" t="s">
        <v>171</v>
      </c>
      <c r="C127" t="s">
        <v>63</v>
      </c>
      <c r="D127" t="s">
        <v>39</v>
      </c>
      <c r="E127" t="s">
        <v>39</v>
      </c>
      <c r="F127" t="s">
        <v>39</v>
      </c>
      <c r="G127" t="s">
        <v>35</v>
      </c>
      <c r="H127" t="s">
        <v>35</v>
      </c>
      <c r="I127" t="s">
        <v>37</v>
      </c>
      <c r="J127" t="s">
        <v>35</v>
      </c>
      <c r="K127" t="s">
        <v>35</v>
      </c>
      <c r="L127" t="s">
        <v>35</v>
      </c>
      <c r="M127" t="s">
        <v>35</v>
      </c>
      <c r="N127" t="s">
        <v>35</v>
      </c>
      <c r="O127" t="str">
        <f t="shared" si="4"/>
        <v>False</v>
      </c>
      <c r="P127" s="3">
        <v>678666.34000000008</v>
      </c>
      <c r="Q127" s="3">
        <v>25641.266439293191</v>
      </c>
      <c r="R127" s="3">
        <v>4758.1920315069756</v>
      </c>
      <c r="S127" s="3">
        <v>20654.144045430639</v>
      </c>
      <c r="T127" s="3">
        <v>441.0443952642168</v>
      </c>
      <c r="U127">
        <v>8.4184579397647702E-2</v>
      </c>
      <c r="V127" s="3">
        <v>-574681.61146457621</v>
      </c>
      <c r="W127">
        <v>130.53192513144899</v>
      </c>
      <c r="X127">
        <v>75.419468645281455</v>
      </c>
      <c r="Y127">
        <v>12.63874141279685</v>
      </c>
      <c r="Z127" s="5">
        <v>0.14352712148544741</v>
      </c>
      <c r="AA127">
        <v>16.65624307537135</v>
      </c>
      <c r="AB127">
        <v>400.42733231844801</v>
      </c>
      <c r="AC127">
        <v>57.133240384240992</v>
      </c>
      <c r="AD127" s="5">
        <v>0.1248648677196335</v>
      </c>
      <c r="AE127">
        <v>88.433598126865718</v>
      </c>
      <c r="AF127">
        <v>12.61776510252672</v>
      </c>
      <c r="AG127">
        <v>2.7912414780911732</v>
      </c>
      <c r="AH127" t="str">
        <f t="shared" si="3"/>
        <v>True</v>
      </c>
      <c r="AI127">
        <v>4</v>
      </c>
    </row>
    <row r="128" spans="1:35" x14ac:dyDescent="0.35">
      <c r="A128" t="s">
        <v>177</v>
      </c>
      <c r="B128" t="s">
        <v>171</v>
      </c>
      <c r="C128" t="s">
        <v>63</v>
      </c>
      <c r="D128" t="s">
        <v>39</v>
      </c>
      <c r="E128" t="s">
        <v>39</v>
      </c>
      <c r="F128" t="s">
        <v>39</v>
      </c>
      <c r="G128" t="s">
        <v>35</v>
      </c>
      <c r="H128" t="s">
        <v>35</v>
      </c>
      <c r="I128" t="s">
        <v>35</v>
      </c>
      <c r="J128" t="s">
        <v>37</v>
      </c>
      <c r="K128" t="s">
        <v>35</v>
      </c>
      <c r="L128" t="s">
        <v>35</v>
      </c>
      <c r="M128" t="s">
        <v>35</v>
      </c>
      <c r="N128" t="s">
        <v>35</v>
      </c>
      <c r="O128" t="str">
        <f t="shared" si="4"/>
        <v>False</v>
      </c>
      <c r="P128" s="3">
        <v>832908.69000000018</v>
      </c>
      <c r="Q128" s="3">
        <v>24321.07308035457</v>
      </c>
      <c r="R128" s="3">
        <v>6078.3853904455946</v>
      </c>
      <c r="S128" s="3">
        <v>20531.85776100558</v>
      </c>
      <c r="T128" s="3">
        <v>563.33067968926628</v>
      </c>
      <c r="U128">
        <v>8.7626443035397905E-2</v>
      </c>
      <c r="V128" s="3">
        <v>-700074.36859730294</v>
      </c>
      <c r="W128">
        <v>125.40564534898699</v>
      </c>
      <c r="X128">
        <v>71.912796055140532</v>
      </c>
      <c r="Y128">
        <v>16.14541400293777</v>
      </c>
      <c r="Z128" s="5">
        <v>0.18334933213256491</v>
      </c>
      <c r="AA128">
        <v>15.8818012489268</v>
      </c>
      <c r="AB128">
        <v>384.57574682471602</v>
      </c>
      <c r="AC128">
        <v>72.98482587797298</v>
      </c>
      <c r="AD128" s="5">
        <v>0.15950855522116111</v>
      </c>
      <c r="AE128">
        <v>84.932806277543293</v>
      </c>
      <c r="AF128">
        <v>16.118556951849161</v>
      </c>
      <c r="AG128">
        <v>3.565683304535725</v>
      </c>
      <c r="AH128" t="str">
        <f t="shared" si="3"/>
        <v>True</v>
      </c>
      <c r="AI128">
        <v>4</v>
      </c>
    </row>
    <row r="129" spans="1:35" x14ac:dyDescent="0.35">
      <c r="A129" t="s">
        <v>178</v>
      </c>
      <c r="B129" t="s">
        <v>171</v>
      </c>
      <c r="C129" t="s">
        <v>63</v>
      </c>
      <c r="D129" t="s">
        <v>39</v>
      </c>
      <c r="E129" t="s">
        <v>39</v>
      </c>
      <c r="F129" t="s">
        <v>39</v>
      </c>
      <c r="G129" t="s">
        <v>35</v>
      </c>
      <c r="H129" t="s">
        <v>35</v>
      </c>
      <c r="I129" t="s">
        <v>35</v>
      </c>
      <c r="J129" t="s">
        <v>35</v>
      </c>
      <c r="K129" t="s">
        <v>35</v>
      </c>
      <c r="L129" t="s">
        <v>35</v>
      </c>
      <c r="M129" t="s">
        <v>37</v>
      </c>
      <c r="N129" t="s">
        <v>35</v>
      </c>
      <c r="O129" t="str">
        <f t="shared" si="4"/>
        <v>False</v>
      </c>
      <c r="P129" s="3">
        <v>356550</v>
      </c>
      <c r="Q129" s="3">
        <v>25246.141948081819</v>
      </c>
      <c r="R129" s="3">
        <v>5153.3165227183435</v>
      </c>
      <c r="S129" s="3">
        <v>22442.907239787761</v>
      </c>
      <c r="T129" s="3">
        <v>-1347.7187990929119</v>
      </c>
      <c r="U129">
        <v>0.14762351690488851</v>
      </c>
      <c r="V129" s="3">
        <v>-280438.04552749143</v>
      </c>
      <c r="W129">
        <v>93.690932645484637</v>
      </c>
      <c r="X129">
        <v>75.100091501136902</v>
      </c>
      <c r="Y129">
        <v>12.9581185569414</v>
      </c>
      <c r="Z129" s="5">
        <v>0.14715400810889689</v>
      </c>
      <c r="AA129">
        <v>16.58570925378465</v>
      </c>
      <c r="AB129">
        <v>404.925407750251</v>
      </c>
      <c r="AC129">
        <v>52.635164952437997</v>
      </c>
      <c r="AD129" s="5">
        <v>0.1150343104117036</v>
      </c>
      <c r="AE129">
        <v>89.4269893441367</v>
      </c>
      <c r="AF129">
        <v>11.624373885255739</v>
      </c>
      <c r="AG129">
        <v>2.8617752996778658</v>
      </c>
      <c r="AH129" t="str">
        <f t="shared" si="3"/>
        <v>False</v>
      </c>
      <c r="AI129">
        <v>0</v>
      </c>
    </row>
    <row r="130" spans="1:35" x14ac:dyDescent="0.35">
      <c r="A130" t="s">
        <v>179</v>
      </c>
      <c r="B130" t="s">
        <v>171</v>
      </c>
      <c r="C130" t="s">
        <v>63</v>
      </c>
      <c r="D130" t="s">
        <v>39</v>
      </c>
      <c r="E130" t="s">
        <v>39</v>
      </c>
      <c r="F130" t="s">
        <v>39</v>
      </c>
      <c r="G130" t="s">
        <v>35</v>
      </c>
      <c r="H130" t="s">
        <v>35</v>
      </c>
      <c r="I130" t="s">
        <v>35</v>
      </c>
      <c r="J130" t="s">
        <v>35</v>
      </c>
      <c r="K130" t="s">
        <v>35</v>
      </c>
      <c r="L130" t="s">
        <v>35</v>
      </c>
      <c r="M130" t="s">
        <v>35</v>
      </c>
      <c r="N130" t="s">
        <v>37</v>
      </c>
      <c r="O130" t="str">
        <f t="shared" si="4"/>
        <v>False</v>
      </c>
      <c r="P130" s="3">
        <v>29979.5</v>
      </c>
      <c r="Q130" s="3">
        <v>27067.550252210902</v>
      </c>
      <c r="R130" s="3">
        <v>3331.908218589268</v>
      </c>
      <c r="S130" s="3">
        <v>21095.188437743811</v>
      </c>
      <c r="T130" s="3">
        <v>2.9510428234402748E-6</v>
      </c>
      <c r="U130">
        <v>1.282330133731183</v>
      </c>
      <c r="V130" s="3">
        <v>36658.664430806217</v>
      </c>
      <c r="W130">
        <v>8.9976968171532477</v>
      </c>
      <c r="X130">
        <v>79.331509172857693</v>
      </c>
      <c r="Y130">
        <v>8.7267008852206089</v>
      </c>
      <c r="Z130" s="5">
        <v>9.9101502057161506E-2</v>
      </c>
      <c r="AA130">
        <v>17.520209622980939</v>
      </c>
      <c r="AB130">
        <v>419.116956458495</v>
      </c>
      <c r="AC130">
        <v>38.443616244193997</v>
      </c>
      <c r="AD130" s="5">
        <v>8.4018638269284698E-2</v>
      </c>
      <c r="AE130">
        <v>92.561165295603999</v>
      </c>
      <c r="AF130">
        <v>8.4901979337884281</v>
      </c>
      <c r="AG130">
        <v>1.9272749304815799</v>
      </c>
      <c r="AH130" t="str">
        <f t="shared" si="3"/>
        <v>False</v>
      </c>
      <c r="AI130">
        <v>0</v>
      </c>
    </row>
    <row r="131" spans="1:35" x14ac:dyDescent="0.35">
      <c r="A131" t="s">
        <v>180</v>
      </c>
      <c r="B131" t="s">
        <v>171</v>
      </c>
      <c r="C131" t="s">
        <v>63</v>
      </c>
      <c r="D131" t="s">
        <v>52</v>
      </c>
      <c r="E131" t="s">
        <v>52</v>
      </c>
      <c r="F131" t="s">
        <v>52</v>
      </c>
      <c r="G131" t="s">
        <v>35</v>
      </c>
      <c r="H131" t="s">
        <v>37</v>
      </c>
      <c r="I131" t="s">
        <v>35</v>
      </c>
      <c r="J131" t="s">
        <v>35</v>
      </c>
      <c r="K131" t="s">
        <v>35</v>
      </c>
      <c r="L131" t="s">
        <v>37</v>
      </c>
      <c r="M131" t="s">
        <v>35</v>
      </c>
      <c r="N131" t="s">
        <v>37</v>
      </c>
      <c r="O131" t="str">
        <f t="shared" si="4"/>
        <v>True</v>
      </c>
      <c r="P131" s="3">
        <v>637307.02</v>
      </c>
      <c r="Q131" s="3">
        <v>10881.46663803334</v>
      </c>
      <c r="R131" s="3">
        <v>19517.991832766831</v>
      </c>
      <c r="S131" s="3">
        <v>19412.532225516268</v>
      </c>
      <c r="T131" s="3">
        <v>1682.6562151785829</v>
      </c>
      <c r="U131">
        <v>0.36672860574723892</v>
      </c>
      <c r="V131" s="3">
        <v>-213294.05904109179</v>
      </c>
      <c r="W131">
        <v>30.060732981309151</v>
      </c>
      <c r="X131">
        <v>36.264988969975377</v>
      </c>
      <c r="Y131">
        <v>51.793221088102918</v>
      </c>
      <c r="Z131" s="5">
        <v>0.58817026889307644</v>
      </c>
      <c r="AA131">
        <v>8.00905233435852</v>
      </c>
      <c r="AB131">
        <v>223.8418578251613</v>
      </c>
      <c r="AC131">
        <v>233.7187148775277</v>
      </c>
      <c r="AD131" s="5">
        <v>0.51079295031259619</v>
      </c>
      <c r="AE131">
        <v>49.435039272341278</v>
      </c>
      <c r="AF131">
        <v>51.616323957051172</v>
      </c>
      <c r="AG131">
        <v>11.438432219104</v>
      </c>
      <c r="AH131" t="str">
        <f t="shared" ref="AH131:AH194" si="5">IF(OR(G131="True",I131="True",J131="True"),"True","False")</f>
        <v>False</v>
      </c>
      <c r="AI131">
        <v>10</v>
      </c>
    </row>
    <row r="132" spans="1:35" x14ac:dyDescent="0.35">
      <c r="A132" t="s">
        <v>181</v>
      </c>
      <c r="B132" t="s">
        <v>171</v>
      </c>
      <c r="C132" t="s">
        <v>63</v>
      </c>
      <c r="D132" t="s">
        <v>52</v>
      </c>
      <c r="E132" t="s">
        <v>52</v>
      </c>
      <c r="F132" t="s">
        <v>52</v>
      </c>
      <c r="G132" t="s">
        <v>35</v>
      </c>
      <c r="H132" t="s">
        <v>37</v>
      </c>
      <c r="I132" t="s">
        <v>37</v>
      </c>
      <c r="J132" t="s">
        <v>35</v>
      </c>
      <c r="K132" t="s">
        <v>35</v>
      </c>
      <c r="L132" t="s">
        <v>37</v>
      </c>
      <c r="M132" t="s">
        <v>35</v>
      </c>
      <c r="N132" t="s">
        <v>37</v>
      </c>
      <c r="O132" t="str">
        <f t="shared" si="4"/>
        <v>True</v>
      </c>
      <c r="P132" s="3">
        <v>1314835.7960000001</v>
      </c>
      <c r="Q132" s="3">
        <v>7650.1847890730569</v>
      </c>
      <c r="R132" s="3">
        <v>22749.273681727111</v>
      </c>
      <c r="S132" s="3">
        <v>19076.469373546999</v>
      </c>
      <c r="T132" s="3">
        <v>2018.719067147855</v>
      </c>
      <c r="U132">
        <v>0.20740451937514781</v>
      </c>
      <c r="V132" s="3">
        <v>-819475.94102250075</v>
      </c>
      <c r="W132">
        <v>53.086086116515183</v>
      </c>
      <c r="X132">
        <v>27.667416492000822</v>
      </c>
      <c r="Y132">
        <v>60.390793566077477</v>
      </c>
      <c r="Z132" s="5">
        <v>0.68580537267617714</v>
      </c>
      <c r="AA132">
        <v>6.1102951616609591</v>
      </c>
      <c r="AB132">
        <v>184.8576863760691</v>
      </c>
      <c r="AC132">
        <v>272.70288632661988</v>
      </c>
      <c r="AD132" s="5">
        <v>0.59599297359874404</v>
      </c>
      <c r="AE132">
        <v>40.825460772100072</v>
      </c>
      <c r="AF132">
        <v>60.225902457292392</v>
      </c>
      <c r="AG132">
        <v>13.33718939180156</v>
      </c>
      <c r="AH132" t="str">
        <f t="shared" si="5"/>
        <v>True</v>
      </c>
      <c r="AI132">
        <v>10</v>
      </c>
    </row>
    <row r="133" spans="1:35" x14ac:dyDescent="0.35">
      <c r="A133" t="s">
        <v>182</v>
      </c>
      <c r="B133" t="s">
        <v>183</v>
      </c>
      <c r="C133" t="s">
        <v>63</v>
      </c>
      <c r="D133" t="s">
        <v>39</v>
      </c>
      <c r="E133" t="s">
        <v>52</v>
      </c>
      <c r="F133" t="s">
        <v>39</v>
      </c>
      <c r="G133" t="s">
        <v>35</v>
      </c>
      <c r="H133" t="s">
        <v>35</v>
      </c>
      <c r="I133" t="s">
        <v>35</v>
      </c>
      <c r="J133" t="s">
        <v>35</v>
      </c>
      <c r="K133" t="s">
        <v>35</v>
      </c>
      <c r="L133" t="s">
        <v>35</v>
      </c>
      <c r="M133" t="s">
        <v>35</v>
      </c>
      <c r="N133" t="s">
        <v>35</v>
      </c>
      <c r="O133" t="str">
        <f t="shared" ref="O133:O196" si="6">IF(COUNTIF(G133:N133,"True")&gt;1, "True", "False")</f>
        <v>False</v>
      </c>
      <c r="P133" s="3">
        <v>0</v>
      </c>
      <c r="Q133" s="3">
        <v>14686.50843862118</v>
      </c>
      <c r="R133" s="3">
        <v>0</v>
      </c>
      <c r="S133" s="3">
        <v>17062.287200552801</v>
      </c>
      <c r="T133" s="3">
        <v>0</v>
      </c>
      <c r="U133">
        <v>0</v>
      </c>
      <c r="V133" s="3">
        <v>0</v>
      </c>
      <c r="W133">
        <v>0</v>
      </c>
      <c r="X133">
        <v>45.290790218481291</v>
      </c>
      <c r="Y133">
        <v>0</v>
      </c>
      <c r="Z133" s="5">
        <v>0</v>
      </c>
      <c r="AA133">
        <v>15.026804982906871</v>
      </c>
      <c r="AB133">
        <v>255.84452292046771</v>
      </c>
      <c r="AC133">
        <v>2.8421709430404007E-14</v>
      </c>
      <c r="AD133" s="5">
        <v>1.110897708732238E-16</v>
      </c>
      <c r="AE133">
        <v>84.885375886021137</v>
      </c>
      <c r="AF133">
        <v>9.4298969576655636E-15</v>
      </c>
      <c r="AG133">
        <v>5.3290705182007514E-15</v>
      </c>
      <c r="AH133" t="str">
        <f t="shared" si="5"/>
        <v>False</v>
      </c>
      <c r="AI133">
        <v>0</v>
      </c>
    </row>
    <row r="134" spans="1:35" x14ac:dyDescent="0.35">
      <c r="A134" t="s">
        <v>184</v>
      </c>
      <c r="B134" t="s">
        <v>183</v>
      </c>
      <c r="C134" t="s">
        <v>63</v>
      </c>
      <c r="D134" t="s">
        <v>52</v>
      </c>
      <c r="E134" t="s">
        <v>52</v>
      </c>
      <c r="F134" t="s">
        <v>52</v>
      </c>
      <c r="G134" t="s">
        <v>37</v>
      </c>
      <c r="H134" t="s">
        <v>35</v>
      </c>
      <c r="I134" t="s">
        <v>35</v>
      </c>
      <c r="J134" t="s">
        <v>35</v>
      </c>
      <c r="K134" t="s">
        <v>35</v>
      </c>
      <c r="L134" t="s">
        <v>35</v>
      </c>
      <c r="M134" t="s">
        <v>35</v>
      </c>
      <c r="N134" t="s">
        <v>35</v>
      </c>
      <c r="O134" t="str">
        <f t="shared" si="6"/>
        <v>False</v>
      </c>
      <c r="P134" s="3">
        <v>81304.2</v>
      </c>
      <c r="Q134" s="3">
        <v>9658.1584055624844</v>
      </c>
      <c r="R134" s="3">
        <v>5028.3500330586994</v>
      </c>
      <c r="S134" s="3">
        <v>16541.289072340209</v>
      </c>
      <c r="T134" s="3">
        <v>520.99812821259013</v>
      </c>
      <c r="U134">
        <v>0.74602735447918678</v>
      </c>
      <c r="V134" s="3">
        <v>29682.763225425791</v>
      </c>
      <c r="W134">
        <v>14.651126157017719</v>
      </c>
      <c r="X134">
        <v>31.912488376861361</v>
      </c>
      <c r="Y134">
        <v>13.37830184161993</v>
      </c>
      <c r="Z134" s="5">
        <v>0.29538680550909879</v>
      </c>
      <c r="AA134">
        <v>10.5880850619978</v>
      </c>
      <c r="AB134">
        <v>195.18936568642101</v>
      </c>
      <c r="AC134">
        <v>60.655157234046698</v>
      </c>
      <c r="AD134" s="5">
        <v>0.23707819319978979</v>
      </c>
      <c r="AE134">
        <v>64.760904341878245</v>
      </c>
      <c r="AF134">
        <v>20.124471544142899</v>
      </c>
      <c r="AG134">
        <v>4.4387199209090742</v>
      </c>
      <c r="AH134" t="str">
        <f t="shared" si="5"/>
        <v>True</v>
      </c>
      <c r="AI134">
        <v>6</v>
      </c>
    </row>
    <row r="135" spans="1:35" x14ac:dyDescent="0.35">
      <c r="A135" t="s">
        <v>185</v>
      </c>
      <c r="B135" t="s">
        <v>183</v>
      </c>
      <c r="C135" t="s">
        <v>63</v>
      </c>
      <c r="D135" t="s">
        <v>52</v>
      </c>
      <c r="E135" t="s">
        <v>77</v>
      </c>
      <c r="F135" t="s">
        <v>52</v>
      </c>
      <c r="G135" t="s">
        <v>37</v>
      </c>
      <c r="H135" t="s">
        <v>35</v>
      </c>
      <c r="I135" t="s">
        <v>37</v>
      </c>
      <c r="J135" t="s">
        <v>35</v>
      </c>
      <c r="K135" t="s">
        <v>35</v>
      </c>
      <c r="L135" t="s">
        <v>35</v>
      </c>
      <c r="M135" t="s">
        <v>37</v>
      </c>
      <c r="N135" t="s">
        <v>35</v>
      </c>
      <c r="O135" t="str">
        <f t="shared" si="6"/>
        <v>True</v>
      </c>
      <c r="P135" s="3">
        <v>736091.39999999991</v>
      </c>
      <c r="Q135" s="3">
        <v>3809.3168730331872</v>
      </c>
      <c r="R135" s="3">
        <v>10877.191565587989</v>
      </c>
      <c r="S135" s="3">
        <v>15935.239619229031</v>
      </c>
      <c r="T135" s="3">
        <v>1127.047581323772</v>
      </c>
      <c r="U135">
        <v>0.17824933097665169</v>
      </c>
      <c r="V135" s="3">
        <v>-496006.61706176458</v>
      </c>
      <c r="W135">
        <v>61.319288210729141</v>
      </c>
      <c r="X135">
        <v>16.351192076819721</v>
      </c>
      <c r="Y135">
        <v>28.93959814166157</v>
      </c>
      <c r="Z135" s="5">
        <v>0.63897313343525008</v>
      </c>
      <c r="AA135">
        <v>5.4250803174584359</v>
      </c>
      <c r="AB135">
        <v>124.6367233328008</v>
      </c>
      <c r="AC135">
        <v>131.2077995876669</v>
      </c>
      <c r="AD135" s="5">
        <v>0.51284193263130518</v>
      </c>
      <c r="AE135">
        <v>41.352595664499269</v>
      </c>
      <c r="AF135">
        <v>43.532780221521882</v>
      </c>
      <c r="AG135">
        <v>9.6017246654484367</v>
      </c>
      <c r="AH135" t="str">
        <f t="shared" si="5"/>
        <v>True</v>
      </c>
      <c r="AI135">
        <v>6</v>
      </c>
    </row>
    <row r="136" spans="1:35" x14ac:dyDescent="0.35">
      <c r="A136" t="s">
        <v>186</v>
      </c>
      <c r="B136" t="s">
        <v>183</v>
      </c>
      <c r="C136" t="s">
        <v>63</v>
      </c>
      <c r="D136" t="s">
        <v>52</v>
      </c>
      <c r="E136" t="s">
        <v>52</v>
      </c>
      <c r="F136" t="s">
        <v>52</v>
      </c>
      <c r="G136" t="s">
        <v>35</v>
      </c>
      <c r="H136" t="s">
        <v>37</v>
      </c>
      <c r="I136" t="s">
        <v>35</v>
      </c>
      <c r="J136" t="s">
        <v>35</v>
      </c>
      <c r="K136" t="s">
        <v>35</v>
      </c>
      <c r="L136" t="s">
        <v>35</v>
      </c>
      <c r="M136" t="s">
        <v>35</v>
      </c>
      <c r="N136" t="s">
        <v>35</v>
      </c>
      <c r="O136" t="str">
        <f t="shared" si="6"/>
        <v>False</v>
      </c>
      <c r="P136" s="3">
        <v>195130.08</v>
      </c>
      <c r="Q136" s="3">
        <v>9658.1584055624844</v>
      </c>
      <c r="R136" s="3">
        <v>5028.3500330586994</v>
      </c>
      <c r="S136" s="3">
        <v>16541.289072340209</v>
      </c>
      <c r="T136" s="3">
        <v>520.99812821259013</v>
      </c>
      <c r="U136">
        <v>0.31084473103299448</v>
      </c>
      <c r="V136" s="3">
        <v>-84143.116774574199</v>
      </c>
      <c r="W136">
        <v>35.162702776842544</v>
      </c>
      <c r="X136">
        <v>31.912488376861361</v>
      </c>
      <c r="Y136">
        <v>13.37830184161993</v>
      </c>
      <c r="Z136" s="5">
        <v>0.29538680550909879</v>
      </c>
      <c r="AA136">
        <v>10.5880850619978</v>
      </c>
      <c r="AB136">
        <v>195.18936568642101</v>
      </c>
      <c r="AC136">
        <v>60.655157234046698</v>
      </c>
      <c r="AD136" s="5">
        <v>0.23707819319978979</v>
      </c>
      <c r="AE136">
        <v>64.760904341878245</v>
      </c>
      <c r="AF136">
        <v>20.124471544142899</v>
      </c>
      <c r="AG136">
        <v>4.4387199209090742</v>
      </c>
      <c r="AH136" t="str">
        <f t="shared" si="5"/>
        <v>False</v>
      </c>
      <c r="AI136">
        <v>4</v>
      </c>
    </row>
    <row r="137" spans="1:35" x14ac:dyDescent="0.35">
      <c r="A137" t="s">
        <v>187</v>
      </c>
      <c r="B137" t="s">
        <v>183</v>
      </c>
      <c r="C137" t="s">
        <v>63</v>
      </c>
      <c r="D137" t="s">
        <v>52</v>
      </c>
      <c r="E137" t="s">
        <v>52</v>
      </c>
      <c r="F137" t="s">
        <v>52</v>
      </c>
      <c r="G137" t="s">
        <v>35</v>
      </c>
      <c r="H137" t="s">
        <v>35</v>
      </c>
      <c r="I137" t="s">
        <v>37</v>
      </c>
      <c r="J137" t="s">
        <v>35</v>
      </c>
      <c r="K137" t="s">
        <v>35</v>
      </c>
      <c r="L137" t="s">
        <v>35</v>
      </c>
      <c r="M137" t="s">
        <v>35</v>
      </c>
      <c r="N137" t="s">
        <v>35</v>
      </c>
      <c r="O137" t="str">
        <f t="shared" si="6"/>
        <v>False</v>
      </c>
      <c r="P137" s="3">
        <v>397487.2</v>
      </c>
      <c r="Q137" s="3">
        <v>10493.14724875283</v>
      </c>
      <c r="R137" s="3">
        <v>4193.3611898683557</v>
      </c>
      <c r="S137" s="3">
        <v>16627.869094311329</v>
      </c>
      <c r="T137" s="3">
        <v>434.41810624147342</v>
      </c>
      <c r="U137">
        <v>0.1272560758351366</v>
      </c>
      <c r="V137" s="3">
        <v>-304931.61407780339</v>
      </c>
      <c r="W137">
        <v>85.891563656489154</v>
      </c>
      <c r="X137">
        <v>34.134064742453873</v>
      </c>
      <c r="Y137">
        <v>11.15672547602742</v>
      </c>
      <c r="Z137" s="5">
        <v>0.24633541217116639</v>
      </c>
      <c r="AA137">
        <v>11.325170783826771</v>
      </c>
      <c r="AB137">
        <v>205.2618616537716</v>
      </c>
      <c r="AC137">
        <v>50.582661266696107</v>
      </c>
      <c r="AD137" s="5">
        <v>0.1977085953972926</v>
      </c>
      <c r="AE137">
        <v>68.102807449824681</v>
      </c>
      <c r="AF137">
        <v>16.782568436196449</v>
      </c>
      <c r="AG137">
        <v>3.7016341990801038</v>
      </c>
      <c r="AH137" t="str">
        <f t="shared" si="5"/>
        <v>True</v>
      </c>
      <c r="AI137">
        <v>2</v>
      </c>
    </row>
    <row r="138" spans="1:35" x14ac:dyDescent="0.35">
      <c r="A138" t="s">
        <v>188</v>
      </c>
      <c r="B138" t="s">
        <v>183</v>
      </c>
      <c r="C138" t="s">
        <v>63</v>
      </c>
      <c r="D138" t="s">
        <v>39</v>
      </c>
      <c r="E138" t="s">
        <v>52</v>
      </c>
      <c r="F138" t="s">
        <v>39</v>
      </c>
      <c r="G138" t="s">
        <v>35</v>
      </c>
      <c r="H138" t="s">
        <v>35</v>
      </c>
      <c r="I138" t="s">
        <v>35</v>
      </c>
      <c r="J138" t="s">
        <v>35</v>
      </c>
      <c r="K138" t="s">
        <v>35</v>
      </c>
      <c r="L138" t="s">
        <v>35</v>
      </c>
      <c r="M138" t="s">
        <v>37</v>
      </c>
      <c r="N138" t="s">
        <v>35</v>
      </c>
      <c r="O138" t="str">
        <f t="shared" si="6"/>
        <v>False</v>
      </c>
      <c r="P138" s="3">
        <v>257300</v>
      </c>
      <c r="Q138" s="3">
        <v>12112.44735245333</v>
      </c>
      <c r="R138" s="3">
        <v>2574.061086167852</v>
      </c>
      <c r="S138" s="3">
        <v>18163.493192499009</v>
      </c>
      <c r="T138" s="3">
        <v>-1101.205991946211</v>
      </c>
      <c r="U138">
        <v>9.3757621484769599E-2</v>
      </c>
      <c r="V138" s="3">
        <v>-227842.89811556719</v>
      </c>
      <c r="W138">
        <v>174.69471437444781</v>
      </c>
      <c r="X138">
        <v>38.98947191651623</v>
      </c>
      <c r="Y138">
        <v>6.3013183019650612</v>
      </c>
      <c r="Z138" s="5">
        <v>0.13913023534294081</v>
      </c>
      <c r="AA138">
        <v>12.936122069182559</v>
      </c>
      <c r="AB138">
        <v>231.72068691243649</v>
      </c>
      <c r="AC138">
        <v>24.123836008031219</v>
      </c>
      <c r="AD138" s="5">
        <v>9.4291000380455195E-2</v>
      </c>
      <c r="AE138">
        <v>76.881448876057235</v>
      </c>
      <c r="AF138">
        <v>8.0039270099639079</v>
      </c>
      <c r="AG138">
        <v>2.090682913724311</v>
      </c>
      <c r="AH138" t="str">
        <f t="shared" si="5"/>
        <v>False</v>
      </c>
      <c r="AI138">
        <v>3</v>
      </c>
    </row>
    <row r="139" spans="1:35" x14ac:dyDescent="0.35">
      <c r="A139" t="s">
        <v>189</v>
      </c>
      <c r="B139" t="s">
        <v>183</v>
      </c>
      <c r="C139" t="s">
        <v>63</v>
      </c>
      <c r="D139" t="s">
        <v>52</v>
      </c>
      <c r="E139" t="s">
        <v>52</v>
      </c>
      <c r="F139" t="s">
        <v>52</v>
      </c>
      <c r="G139" t="s">
        <v>37</v>
      </c>
      <c r="H139" t="s">
        <v>35</v>
      </c>
      <c r="I139" t="s">
        <v>37</v>
      </c>
      <c r="J139" t="s">
        <v>35</v>
      </c>
      <c r="K139" t="s">
        <v>35</v>
      </c>
      <c r="L139" t="s">
        <v>35</v>
      </c>
      <c r="M139" t="s">
        <v>35</v>
      </c>
      <c r="N139" t="s">
        <v>35</v>
      </c>
      <c r="O139" t="str">
        <f t="shared" si="6"/>
        <v>True</v>
      </c>
      <c r="P139" s="3">
        <v>478791.4</v>
      </c>
      <c r="Q139" s="3">
        <v>5923.4662053774982</v>
      </c>
      <c r="R139" s="3">
        <v>8763.0422332436847</v>
      </c>
      <c r="S139" s="3">
        <v>16154.828994146719</v>
      </c>
      <c r="T139" s="3">
        <v>907.45820640608235</v>
      </c>
      <c r="U139">
        <v>0.2207701769276216</v>
      </c>
      <c r="V139" s="3">
        <v>-285381.39120700472</v>
      </c>
      <c r="W139">
        <v>49.510509098052452</v>
      </c>
      <c r="X139">
        <v>21.976259838349719</v>
      </c>
      <c r="Y139">
        <v>23.314530380131568</v>
      </c>
      <c r="Z139" s="5">
        <v>0.51477420172319888</v>
      </c>
      <c r="AA139">
        <v>7.2913934433807981</v>
      </c>
      <c r="AB139">
        <v>150.14166083104411</v>
      </c>
      <c r="AC139">
        <v>105.7028620894236</v>
      </c>
      <c r="AD139" s="5">
        <v>0.4131527260494946</v>
      </c>
      <c r="AE139">
        <v>49.814751436975477</v>
      </c>
      <c r="AF139">
        <v>35.070624449045667</v>
      </c>
      <c r="AG139">
        <v>7.7354115395260727</v>
      </c>
      <c r="AH139" t="str">
        <f t="shared" si="5"/>
        <v>True</v>
      </c>
      <c r="AI139">
        <v>6</v>
      </c>
    </row>
    <row r="140" spans="1:35" x14ac:dyDescent="0.35">
      <c r="A140" t="s">
        <v>190</v>
      </c>
      <c r="B140" t="s">
        <v>183</v>
      </c>
      <c r="C140" t="s">
        <v>63</v>
      </c>
      <c r="D140" t="s">
        <v>52</v>
      </c>
      <c r="E140" t="s">
        <v>52</v>
      </c>
      <c r="F140" t="s">
        <v>52</v>
      </c>
      <c r="G140" t="s">
        <v>37</v>
      </c>
      <c r="H140" t="s">
        <v>35</v>
      </c>
      <c r="I140" t="s">
        <v>35</v>
      </c>
      <c r="J140" t="s">
        <v>35</v>
      </c>
      <c r="K140" t="s">
        <v>35</v>
      </c>
      <c r="L140" t="s">
        <v>35</v>
      </c>
      <c r="M140" t="s">
        <v>37</v>
      </c>
      <c r="N140" t="s">
        <v>35</v>
      </c>
      <c r="O140" t="str">
        <f t="shared" si="6"/>
        <v>True</v>
      </c>
      <c r="P140" s="3">
        <v>338604.2</v>
      </c>
      <c r="Q140" s="3">
        <v>7300.2033455966712</v>
      </c>
      <c r="R140" s="3">
        <v>7386.3050930245117</v>
      </c>
      <c r="S140" s="3">
        <v>16295.96646156582</v>
      </c>
      <c r="T140" s="3">
        <v>766.32073898697683</v>
      </c>
      <c r="U140">
        <v>0.26314920020117211</v>
      </c>
      <c r="V140" s="3">
        <v>-175551.68335977019</v>
      </c>
      <c r="W140">
        <v>41.533146127038258</v>
      </c>
      <c r="X140">
        <v>25.63856841744558</v>
      </c>
      <c r="Y140">
        <v>19.652221801035719</v>
      </c>
      <c r="Z140" s="5">
        <v>0.43391209793942742</v>
      </c>
      <c r="AA140">
        <v>8.5064925074471045</v>
      </c>
      <c r="AB140">
        <v>166.74109850571</v>
      </c>
      <c r="AC140">
        <v>89.103424414757711</v>
      </c>
      <c r="AD140" s="5">
        <v>0.34827176832883211</v>
      </c>
      <c r="AE140">
        <v>55.322195920938952</v>
      </c>
      <c r="AF140">
        <v>29.563179965082188</v>
      </c>
      <c r="AG140">
        <v>6.5203124754597663</v>
      </c>
      <c r="AH140" t="str">
        <f t="shared" si="5"/>
        <v>True</v>
      </c>
      <c r="AI140">
        <v>6</v>
      </c>
    </row>
    <row r="141" spans="1:35" x14ac:dyDescent="0.35">
      <c r="A141" t="s">
        <v>191</v>
      </c>
      <c r="B141" t="s">
        <v>183</v>
      </c>
      <c r="C141" t="s">
        <v>63</v>
      </c>
      <c r="D141" t="s">
        <v>52</v>
      </c>
      <c r="E141" t="s">
        <v>52</v>
      </c>
      <c r="F141" t="s">
        <v>52</v>
      </c>
      <c r="G141" t="s">
        <v>35</v>
      </c>
      <c r="H141" t="s">
        <v>35</v>
      </c>
      <c r="I141" t="s">
        <v>37</v>
      </c>
      <c r="J141" t="s">
        <v>35</v>
      </c>
      <c r="K141" t="s">
        <v>35</v>
      </c>
      <c r="L141" t="s">
        <v>35</v>
      </c>
      <c r="M141" t="s">
        <v>37</v>
      </c>
      <c r="N141" t="s">
        <v>35</v>
      </c>
      <c r="O141" t="str">
        <f t="shared" si="6"/>
        <v>True</v>
      </c>
      <c r="P141" s="3">
        <v>654787.19999999995</v>
      </c>
      <c r="Q141" s="3">
        <v>8098.6814224414766</v>
      </c>
      <c r="R141" s="3">
        <v>6587.8270161797054</v>
      </c>
      <c r="S141" s="3">
        <v>16378.66121419863</v>
      </c>
      <c r="T141" s="3">
        <v>683.62598635416589</v>
      </c>
      <c r="U141">
        <v>0.12137051941158809</v>
      </c>
      <c r="V141" s="3">
        <v>-509358.13994932262</v>
      </c>
      <c r="W141">
        <v>90.049017682136906</v>
      </c>
      <c r="X141">
        <v>27.762964230622519</v>
      </c>
      <c r="Y141">
        <v>17.527825987858769</v>
      </c>
      <c r="Z141" s="5">
        <v>0.38700640689431809</v>
      </c>
      <c r="AA141">
        <v>9.2113351793704439</v>
      </c>
      <c r="AB141">
        <v>176.3726603524083</v>
      </c>
      <c r="AC141">
        <v>79.471862568059407</v>
      </c>
      <c r="AD141" s="5">
        <v>0.31062561613939332</v>
      </c>
      <c r="AE141">
        <v>58.517803700201817</v>
      </c>
      <c r="AF141">
        <v>26.367572185819309</v>
      </c>
      <c r="AG141">
        <v>5.815469803536427</v>
      </c>
      <c r="AH141" t="str">
        <f t="shared" si="5"/>
        <v>True</v>
      </c>
      <c r="AI141">
        <v>3</v>
      </c>
    </row>
    <row r="142" spans="1:35" x14ac:dyDescent="0.35">
      <c r="A142" t="s">
        <v>192</v>
      </c>
      <c r="B142" t="s">
        <v>183</v>
      </c>
      <c r="C142" t="s">
        <v>63</v>
      </c>
      <c r="D142" t="s">
        <v>52</v>
      </c>
      <c r="E142" t="s">
        <v>52</v>
      </c>
      <c r="F142" t="s">
        <v>52</v>
      </c>
      <c r="G142" t="s">
        <v>35</v>
      </c>
      <c r="H142" t="s">
        <v>37</v>
      </c>
      <c r="I142" t="s">
        <v>35</v>
      </c>
      <c r="J142" t="s">
        <v>35</v>
      </c>
      <c r="K142" t="s">
        <v>35</v>
      </c>
      <c r="L142" t="s">
        <v>35</v>
      </c>
      <c r="M142" t="s">
        <v>37</v>
      </c>
      <c r="N142" t="s">
        <v>35</v>
      </c>
      <c r="O142" t="str">
        <f t="shared" si="6"/>
        <v>True</v>
      </c>
      <c r="P142" s="3">
        <v>452430.08000000002</v>
      </c>
      <c r="Q142" s="3">
        <v>7300.2033455966621</v>
      </c>
      <c r="R142" s="3">
        <v>7386.3050930245199</v>
      </c>
      <c r="S142" s="3">
        <v>16295.96646156582</v>
      </c>
      <c r="T142" s="3">
        <v>766.32073898697683</v>
      </c>
      <c r="U142">
        <v>0.19694407678366091</v>
      </c>
      <c r="V142" s="3">
        <v>-289377.56335977011</v>
      </c>
      <c r="W142">
        <v>55.495013425431793</v>
      </c>
      <c r="X142">
        <v>25.638568417445551</v>
      </c>
      <c r="Y142">
        <v>19.65222180103574</v>
      </c>
      <c r="Z142" s="5">
        <v>0.43391209793942792</v>
      </c>
      <c r="AA142">
        <v>8.5064925074470992</v>
      </c>
      <c r="AB142">
        <v>166.74109850570991</v>
      </c>
      <c r="AC142">
        <v>89.103424414757825</v>
      </c>
      <c r="AD142" s="5">
        <v>0.34827176832883261</v>
      </c>
      <c r="AE142">
        <v>55.32219592093891</v>
      </c>
      <c r="AF142">
        <v>29.563179965082231</v>
      </c>
      <c r="AG142">
        <v>6.5203124754597717</v>
      </c>
      <c r="AH142" t="str">
        <f t="shared" si="5"/>
        <v>False</v>
      </c>
      <c r="AI142">
        <v>4</v>
      </c>
    </row>
    <row r="143" spans="1:35" x14ac:dyDescent="0.35">
      <c r="A143" t="s">
        <v>193</v>
      </c>
      <c r="B143" t="s">
        <v>183</v>
      </c>
      <c r="C143" t="s">
        <v>63</v>
      </c>
      <c r="D143" t="s">
        <v>52</v>
      </c>
      <c r="E143" t="s">
        <v>52</v>
      </c>
      <c r="F143" t="s">
        <v>52</v>
      </c>
      <c r="G143" t="s">
        <v>35</v>
      </c>
      <c r="H143" t="s">
        <v>37</v>
      </c>
      <c r="I143" t="s">
        <v>37</v>
      </c>
      <c r="J143" t="s">
        <v>35</v>
      </c>
      <c r="K143" t="s">
        <v>35</v>
      </c>
      <c r="L143" t="s">
        <v>35</v>
      </c>
      <c r="M143" t="s">
        <v>35</v>
      </c>
      <c r="N143" t="s">
        <v>35</v>
      </c>
      <c r="O143" t="str">
        <f t="shared" si="6"/>
        <v>True</v>
      </c>
      <c r="P143" s="3">
        <v>592617.28</v>
      </c>
      <c r="Q143" s="3">
        <v>5923.4662053774982</v>
      </c>
      <c r="R143" s="3">
        <v>8763.0422332436847</v>
      </c>
      <c r="S143" s="3">
        <v>16154.828994146719</v>
      </c>
      <c r="T143" s="3">
        <v>907.45820640608235</v>
      </c>
      <c r="U143">
        <v>0.1783661490421333</v>
      </c>
      <c r="V143" s="3">
        <v>-399207.27120700473</v>
      </c>
      <c r="W143">
        <v>61.280932015702653</v>
      </c>
      <c r="X143">
        <v>21.976259838349719</v>
      </c>
      <c r="Y143">
        <v>23.314530380131568</v>
      </c>
      <c r="Z143" s="5">
        <v>0.51477420172319888</v>
      </c>
      <c r="AA143">
        <v>7.2913934433807981</v>
      </c>
      <c r="AB143">
        <v>150.14166083104411</v>
      </c>
      <c r="AC143">
        <v>105.7028620894236</v>
      </c>
      <c r="AD143" s="5">
        <v>0.4131527260494946</v>
      </c>
      <c r="AE143">
        <v>49.814751436975477</v>
      </c>
      <c r="AF143">
        <v>35.070624449045667</v>
      </c>
      <c r="AG143">
        <v>7.7354115395260727</v>
      </c>
      <c r="AH143" t="str">
        <f t="shared" si="5"/>
        <v>True</v>
      </c>
      <c r="AI143">
        <v>4</v>
      </c>
    </row>
    <row r="144" spans="1:35" x14ac:dyDescent="0.35">
      <c r="A144" t="s">
        <v>194</v>
      </c>
      <c r="B144" t="s">
        <v>195</v>
      </c>
      <c r="C144" t="s">
        <v>63</v>
      </c>
      <c r="D144" t="s">
        <v>39</v>
      </c>
      <c r="E144" t="s">
        <v>34</v>
      </c>
      <c r="F144" t="s">
        <v>34</v>
      </c>
      <c r="G144" t="s">
        <v>35</v>
      </c>
      <c r="H144" t="s">
        <v>35</v>
      </c>
      <c r="I144" t="s">
        <v>35</v>
      </c>
      <c r="J144" t="s">
        <v>35</v>
      </c>
      <c r="K144" t="s">
        <v>35</v>
      </c>
      <c r="L144" t="s">
        <v>35</v>
      </c>
      <c r="M144" t="s">
        <v>35</v>
      </c>
      <c r="N144" t="s">
        <v>35</v>
      </c>
      <c r="O144" t="str">
        <f t="shared" si="6"/>
        <v>False</v>
      </c>
      <c r="P144" s="3">
        <v>0</v>
      </c>
      <c r="Q144" s="3">
        <v>41845.059469614047</v>
      </c>
      <c r="R144" s="3">
        <v>0</v>
      </c>
      <c r="S144" s="3">
        <v>16954.663971776779</v>
      </c>
      <c r="T144" s="3">
        <v>0</v>
      </c>
      <c r="U144">
        <v>0</v>
      </c>
      <c r="V144" s="3">
        <v>0</v>
      </c>
      <c r="W144">
        <v>0</v>
      </c>
      <c r="X144">
        <v>116.3795175975072</v>
      </c>
      <c r="Y144">
        <v>2.8421709430404007E-14</v>
      </c>
      <c r="Z144" s="5">
        <v>2.4421573501188649E-16</v>
      </c>
      <c r="AA144">
        <v>31.134167361558902</v>
      </c>
      <c r="AB144">
        <v>568.65543954342559</v>
      </c>
      <c r="AC144">
        <v>0</v>
      </c>
      <c r="AD144" s="5">
        <v>0</v>
      </c>
      <c r="AE144">
        <v>152.12826098004959</v>
      </c>
      <c r="AF144">
        <v>0</v>
      </c>
      <c r="AG144">
        <v>0</v>
      </c>
      <c r="AH144" t="str">
        <f t="shared" si="5"/>
        <v>False</v>
      </c>
      <c r="AI144">
        <v>0</v>
      </c>
    </row>
    <row r="145" spans="1:35" x14ac:dyDescent="0.35">
      <c r="A145" t="s">
        <v>196</v>
      </c>
      <c r="B145" t="s">
        <v>195</v>
      </c>
      <c r="C145" t="s">
        <v>63</v>
      </c>
      <c r="D145" t="s">
        <v>39</v>
      </c>
      <c r="E145" t="s">
        <v>39</v>
      </c>
      <c r="F145" t="s">
        <v>39</v>
      </c>
      <c r="G145" t="s">
        <v>35</v>
      </c>
      <c r="H145" t="s">
        <v>37</v>
      </c>
      <c r="I145" t="s">
        <v>35</v>
      </c>
      <c r="J145" t="s">
        <v>35</v>
      </c>
      <c r="K145" t="s">
        <v>35</v>
      </c>
      <c r="L145" t="s">
        <v>35</v>
      </c>
      <c r="M145" t="s">
        <v>35</v>
      </c>
      <c r="N145" t="s">
        <v>35</v>
      </c>
      <c r="O145" t="str">
        <f t="shared" si="6"/>
        <v>False</v>
      </c>
      <c r="P145" s="3">
        <v>423484.20000000013</v>
      </c>
      <c r="Q145" s="3">
        <v>27515.728017254249</v>
      </c>
      <c r="R145" s="3">
        <v>14329.3314523598</v>
      </c>
      <c r="S145" s="3">
        <v>15630.26414923055</v>
      </c>
      <c r="T145" s="3">
        <v>1324.399822546223</v>
      </c>
      <c r="U145">
        <v>0.40624397036546328</v>
      </c>
      <c r="V145" s="3">
        <v>-110409.5745018796</v>
      </c>
      <c r="W145">
        <v>27.05324325318357</v>
      </c>
      <c r="X145">
        <v>78.31937530220651</v>
      </c>
      <c r="Y145">
        <v>38.060142295300693</v>
      </c>
      <c r="Z145" s="5">
        <v>0.32703471436382647</v>
      </c>
      <c r="AA145">
        <v>20.95221383151592</v>
      </c>
      <c r="AB145">
        <v>396.6175367483836</v>
      </c>
      <c r="AC145">
        <v>172.03790279504199</v>
      </c>
      <c r="AD145" s="5">
        <v>0.30253452412795262</v>
      </c>
      <c r="AE145">
        <v>106.1042099380373</v>
      </c>
      <c r="AF145">
        <v>46.024051042012303</v>
      </c>
      <c r="AG145">
        <v>10.18195353004298</v>
      </c>
      <c r="AH145" t="str">
        <f t="shared" si="5"/>
        <v>False</v>
      </c>
      <c r="AI145">
        <v>9</v>
      </c>
    </row>
    <row r="146" spans="1:35" x14ac:dyDescent="0.35">
      <c r="A146" t="s">
        <v>197</v>
      </c>
      <c r="B146" t="s">
        <v>195</v>
      </c>
      <c r="C146" t="s">
        <v>63</v>
      </c>
      <c r="D146" t="s">
        <v>52</v>
      </c>
      <c r="E146" t="s">
        <v>52</v>
      </c>
      <c r="F146" t="s">
        <v>52</v>
      </c>
      <c r="G146" t="s">
        <v>37</v>
      </c>
      <c r="H146" t="s">
        <v>35</v>
      </c>
      <c r="I146" t="s">
        <v>37</v>
      </c>
      <c r="J146" t="s">
        <v>35</v>
      </c>
      <c r="K146" t="s">
        <v>35</v>
      </c>
      <c r="L146" t="s">
        <v>37</v>
      </c>
      <c r="M146" t="s">
        <v>35</v>
      </c>
      <c r="N146" t="s">
        <v>37</v>
      </c>
      <c r="O146" t="str">
        <f t="shared" si="6"/>
        <v>True</v>
      </c>
      <c r="P146" s="3">
        <v>1799636.88</v>
      </c>
      <c r="Q146" s="3">
        <v>8056.0711449003893</v>
      </c>
      <c r="R146" s="3">
        <v>33788.98832471366</v>
      </c>
      <c r="S146" s="3">
        <v>13917.45572186505</v>
      </c>
      <c r="T146" s="3">
        <v>3037.2082499117219</v>
      </c>
      <c r="U146">
        <v>0.2251766574663617</v>
      </c>
      <c r="V146" s="3">
        <v>-1063112.948507492</v>
      </c>
      <c r="W146">
        <v>48.868388467790247</v>
      </c>
      <c r="X146">
        <v>26.666880176047151</v>
      </c>
      <c r="Y146">
        <v>89.712637421460059</v>
      </c>
      <c r="Z146" s="5">
        <v>0.77086277098799094</v>
      </c>
      <c r="AA146">
        <v>7.1339968368237416</v>
      </c>
      <c r="AB146">
        <v>163.41922225183379</v>
      </c>
      <c r="AC146">
        <v>405.2362172915918</v>
      </c>
      <c r="AD146" s="5">
        <v>0.71262171978334832</v>
      </c>
      <c r="AE146">
        <v>43.718358012796628</v>
      </c>
      <c r="AF146">
        <v>108.409902967253</v>
      </c>
      <c r="AG146">
        <v>24.000170524735161</v>
      </c>
      <c r="AH146" t="str">
        <f t="shared" si="5"/>
        <v>True</v>
      </c>
      <c r="AI146">
        <v>12</v>
      </c>
    </row>
    <row r="147" spans="1:35" x14ac:dyDescent="0.35">
      <c r="A147" t="s">
        <v>198</v>
      </c>
      <c r="B147" t="s">
        <v>195</v>
      </c>
      <c r="C147" t="s">
        <v>63</v>
      </c>
      <c r="D147" t="s">
        <v>39</v>
      </c>
      <c r="E147" t="s">
        <v>39</v>
      </c>
      <c r="F147" t="s">
        <v>39</v>
      </c>
      <c r="G147" t="s">
        <v>37</v>
      </c>
      <c r="H147" t="s">
        <v>35</v>
      </c>
      <c r="I147" t="s">
        <v>35</v>
      </c>
      <c r="J147" t="s">
        <v>35</v>
      </c>
      <c r="K147" t="s">
        <v>35</v>
      </c>
      <c r="L147" t="s">
        <v>35</v>
      </c>
      <c r="M147" t="s">
        <v>35</v>
      </c>
      <c r="N147" t="s">
        <v>35</v>
      </c>
      <c r="O147" t="str">
        <f t="shared" si="6"/>
        <v>False</v>
      </c>
      <c r="P147" s="3">
        <v>176451.75</v>
      </c>
      <c r="Q147" s="3">
        <v>27515.728017254249</v>
      </c>
      <c r="R147" s="3">
        <v>14329.3314523598</v>
      </c>
      <c r="S147" s="3">
        <v>15630.26414923055</v>
      </c>
      <c r="T147" s="3">
        <v>1324.399822546223</v>
      </c>
      <c r="U147">
        <v>0.97498552887711221</v>
      </c>
      <c r="V147" s="3">
        <v>136622.8754981205</v>
      </c>
      <c r="W147">
        <v>11.27218468882648</v>
      </c>
      <c r="X147">
        <v>78.31937530220651</v>
      </c>
      <c r="Y147">
        <v>38.060142295300693</v>
      </c>
      <c r="Z147" s="5">
        <v>0.32703471436382647</v>
      </c>
      <c r="AA147">
        <v>20.95221383151592</v>
      </c>
      <c r="AB147">
        <v>396.6175367483836</v>
      </c>
      <c r="AC147">
        <v>172.03790279504199</v>
      </c>
      <c r="AD147" s="5">
        <v>0.30253452412795262</v>
      </c>
      <c r="AE147">
        <v>106.1042099380373</v>
      </c>
      <c r="AF147">
        <v>46.024051042012303</v>
      </c>
      <c r="AG147">
        <v>10.18195353004298</v>
      </c>
      <c r="AH147" t="str">
        <f t="shared" si="5"/>
        <v>True</v>
      </c>
      <c r="AI147">
        <v>12</v>
      </c>
    </row>
    <row r="148" spans="1:35" x14ac:dyDescent="0.35">
      <c r="A148" t="s">
        <v>199</v>
      </c>
      <c r="B148" t="s">
        <v>195</v>
      </c>
      <c r="C148" t="s">
        <v>63</v>
      </c>
      <c r="D148" t="s">
        <v>39</v>
      </c>
      <c r="E148" t="s">
        <v>39</v>
      </c>
      <c r="F148" t="s">
        <v>39</v>
      </c>
      <c r="G148" t="s">
        <v>35</v>
      </c>
      <c r="H148" t="s">
        <v>35</v>
      </c>
      <c r="I148" t="s">
        <v>35</v>
      </c>
      <c r="J148" t="s">
        <v>35</v>
      </c>
      <c r="K148" t="s">
        <v>35</v>
      </c>
      <c r="L148" t="s">
        <v>37</v>
      </c>
      <c r="M148" t="s">
        <v>35</v>
      </c>
      <c r="N148" t="s">
        <v>35</v>
      </c>
      <c r="O148" t="str">
        <f t="shared" si="6"/>
        <v>False</v>
      </c>
      <c r="P148" s="3">
        <v>744933.625</v>
      </c>
      <c r="Q148" s="3">
        <v>22904.36535842792</v>
      </c>
      <c r="R148" s="3">
        <v>18940.694111186131</v>
      </c>
      <c r="S148" s="3">
        <v>15204.979824974551</v>
      </c>
      <c r="T148" s="3">
        <v>1749.684146802226</v>
      </c>
      <c r="U148">
        <v>0.30525837176494658</v>
      </c>
      <c r="V148" s="3">
        <v>-331126.05984023289</v>
      </c>
      <c r="W148">
        <v>36.003866904288628</v>
      </c>
      <c r="X148">
        <v>66.071503137594959</v>
      </c>
      <c r="Y148">
        <v>50.308014459912243</v>
      </c>
      <c r="Z148" s="5">
        <v>0.43227550258371078</v>
      </c>
      <c r="AA148">
        <v>17.675629517815668</v>
      </c>
      <c r="AB148">
        <v>341.25821410296629</v>
      </c>
      <c r="AC148">
        <v>227.39722544045929</v>
      </c>
      <c r="AD148" s="5">
        <v>0.39988578254529122</v>
      </c>
      <c r="AE148">
        <v>91.294332290788205</v>
      </c>
      <c r="AF148">
        <v>60.833928689261448</v>
      </c>
      <c r="AG148">
        <v>13.45853784374323</v>
      </c>
      <c r="AH148" t="str">
        <f t="shared" si="5"/>
        <v>False</v>
      </c>
      <c r="AI148">
        <v>12</v>
      </c>
    </row>
    <row r="149" spans="1:35" x14ac:dyDescent="0.35">
      <c r="A149" t="s">
        <v>200</v>
      </c>
      <c r="B149" t="s">
        <v>195</v>
      </c>
      <c r="C149" t="s">
        <v>63</v>
      </c>
      <c r="D149" t="s">
        <v>39</v>
      </c>
      <c r="E149" t="s">
        <v>39</v>
      </c>
      <c r="F149" t="s">
        <v>39</v>
      </c>
      <c r="G149" t="s">
        <v>35</v>
      </c>
      <c r="H149" t="s">
        <v>35</v>
      </c>
      <c r="I149" t="s">
        <v>37</v>
      </c>
      <c r="J149" t="s">
        <v>35</v>
      </c>
      <c r="K149" t="s">
        <v>35</v>
      </c>
      <c r="L149" t="s">
        <v>35</v>
      </c>
      <c r="M149" t="s">
        <v>35</v>
      </c>
      <c r="N149" t="s">
        <v>35</v>
      </c>
      <c r="O149" t="str">
        <f t="shared" si="6"/>
        <v>False</v>
      </c>
      <c r="P149" s="3">
        <v>862653.00000000023</v>
      </c>
      <c r="Q149" s="3">
        <v>37496.045974330838</v>
      </c>
      <c r="R149" s="3">
        <v>4349.0134952832123</v>
      </c>
      <c r="S149" s="3">
        <v>16552.597566806318</v>
      </c>
      <c r="T149" s="3">
        <v>402.06640497045402</v>
      </c>
      <c r="U149">
        <v>6.0528131531337702E-2</v>
      </c>
      <c r="V149" s="3">
        <v>-767631.40199492685</v>
      </c>
      <c r="W149">
        <v>181.5698784509901</v>
      </c>
      <c r="X149">
        <v>104.8280591740988</v>
      </c>
      <c r="Y149">
        <v>11.55145842340842</v>
      </c>
      <c r="Z149" s="5">
        <v>9.9256799322356398E-2</v>
      </c>
      <c r="AA149">
        <v>28.043889559684001</v>
      </c>
      <c r="AB149">
        <v>516.44066529352244</v>
      </c>
      <c r="AC149">
        <v>52.214774249903137</v>
      </c>
      <c r="AD149" s="5">
        <v>9.1821462732909795E-2</v>
      </c>
      <c r="AE149">
        <v>138.1596215338476</v>
      </c>
      <c r="AF149">
        <v>13.968639446202021</v>
      </c>
      <c r="AG149">
        <v>3.0902778018749011</v>
      </c>
      <c r="AH149" t="str">
        <f t="shared" si="5"/>
        <v>True</v>
      </c>
      <c r="AI149">
        <v>5</v>
      </c>
    </row>
    <row r="150" spans="1:35" x14ac:dyDescent="0.35">
      <c r="A150" t="s">
        <v>201</v>
      </c>
      <c r="B150" t="s">
        <v>195</v>
      </c>
      <c r="C150" t="s">
        <v>63</v>
      </c>
      <c r="D150" t="s">
        <v>39</v>
      </c>
      <c r="E150" t="s">
        <v>39</v>
      </c>
      <c r="F150" t="s">
        <v>39</v>
      </c>
      <c r="G150" t="s">
        <v>35</v>
      </c>
      <c r="H150" t="s">
        <v>35</v>
      </c>
      <c r="I150" t="s">
        <v>35</v>
      </c>
      <c r="J150" t="s">
        <v>35</v>
      </c>
      <c r="K150" t="s">
        <v>35</v>
      </c>
      <c r="L150" t="s">
        <v>35</v>
      </c>
      <c r="M150" t="s">
        <v>35</v>
      </c>
      <c r="N150" t="s">
        <v>37</v>
      </c>
      <c r="O150" t="str">
        <f t="shared" si="6"/>
        <v>False</v>
      </c>
      <c r="P150" s="3">
        <v>48939</v>
      </c>
      <c r="Q150" s="3">
        <v>39007.680119777193</v>
      </c>
      <c r="R150" s="3">
        <v>2837.379349836855</v>
      </c>
      <c r="S150" s="3">
        <v>16956.62326630134</v>
      </c>
      <c r="T150" s="3">
        <v>-1.9592945245682361</v>
      </c>
      <c r="U150">
        <v>0.668747070351286</v>
      </c>
      <c r="V150" s="3">
        <v>7769.4011062457284</v>
      </c>
      <c r="W150">
        <v>17.259876506943161</v>
      </c>
      <c r="X150">
        <v>108.9488358438394</v>
      </c>
      <c r="Y150">
        <v>7.4306817536678267</v>
      </c>
      <c r="Z150" s="5">
        <v>6.3848707290285106E-2</v>
      </c>
      <c r="AA150">
        <v>29.14629102296399</v>
      </c>
      <c r="AB150">
        <v>535.927626667504</v>
      </c>
      <c r="AC150">
        <v>32.727812875921593</v>
      </c>
      <c r="AD150" s="5">
        <v>5.7552976020415397E-2</v>
      </c>
      <c r="AE150">
        <v>143.3728268238373</v>
      </c>
      <c r="AF150">
        <v>8.7554341562123028</v>
      </c>
      <c r="AG150">
        <v>1.9878763385949161</v>
      </c>
      <c r="AH150" t="str">
        <f t="shared" si="5"/>
        <v>False</v>
      </c>
      <c r="AI150">
        <v>0</v>
      </c>
    </row>
    <row r="151" spans="1:35" x14ac:dyDescent="0.35">
      <c r="A151" t="s">
        <v>202</v>
      </c>
      <c r="B151" t="s">
        <v>195</v>
      </c>
      <c r="C151" t="s">
        <v>63</v>
      </c>
      <c r="D151" t="s">
        <v>39</v>
      </c>
      <c r="E151" t="s">
        <v>39</v>
      </c>
      <c r="F151" t="s">
        <v>39</v>
      </c>
      <c r="G151" t="s">
        <v>35</v>
      </c>
      <c r="H151" t="s">
        <v>35</v>
      </c>
      <c r="I151" t="s">
        <v>35</v>
      </c>
      <c r="J151" t="s">
        <v>35</v>
      </c>
      <c r="K151" t="s">
        <v>35</v>
      </c>
      <c r="L151" t="s">
        <v>35</v>
      </c>
      <c r="M151" t="s">
        <v>37</v>
      </c>
      <c r="N151" t="s">
        <v>35</v>
      </c>
      <c r="O151" t="str">
        <f t="shared" si="6"/>
        <v>False</v>
      </c>
      <c r="P151" s="3">
        <v>581750</v>
      </c>
      <c r="Q151" s="3">
        <v>39934.069650984064</v>
      </c>
      <c r="R151" s="3">
        <v>1910.989818629994</v>
      </c>
      <c r="S151" s="3">
        <v>18567.249627911071</v>
      </c>
      <c r="T151" s="3">
        <v>-1612.585656134291</v>
      </c>
      <c r="U151">
        <v>2.38659971102618E-2</v>
      </c>
      <c r="V151" s="3">
        <v>-575781.91675008589</v>
      </c>
      <c r="W151">
        <v>1949.5371483243889</v>
      </c>
      <c r="X151">
        <v>112.01942103235029</v>
      </c>
      <c r="Y151">
        <v>4.3600965651568941</v>
      </c>
      <c r="Z151" s="5">
        <v>3.74644667306155E-2</v>
      </c>
      <c r="AA151">
        <v>29.967742384256368</v>
      </c>
      <c r="AB151">
        <v>554.77139572453075</v>
      </c>
      <c r="AC151">
        <v>13.88404381889484</v>
      </c>
      <c r="AD151" s="5">
        <v>2.44155649509698E-2</v>
      </c>
      <c r="AE151">
        <v>148.41396354321321</v>
      </c>
      <c r="AF151">
        <v>3.7142974368365</v>
      </c>
      <c r="AG151">
        <v>1.166424977302533</v>
      </c>
      <c r="AH151" t="str">
        <f t="shared" si="5"/>
        <v>False</v>
      </c>
      <c r="AI151">
        <v>0</v>
      </c>
    </row>
    <row r="152" spans="1:35" x14ac:dyDescent="0.35">
      <c r="A152" t="s">
        <v>203</v>
      </c>
      <c r="B152" t="s">
        <v>195</v>
      </c>
      <c r="C152" t="s">
        <v>63</v>
      </c>
      <c r="D152" t="s">
        <v>52</v>
      </c>
      <c r="E152" t="s">
        <v>52</v>
      </c>
      <c r="F152" t="s">
        <v>52</v>
      </c>
      <c r="G152" t="s">
        <v>37</v>
      </c>
      <c r="H152" t="s">
        <v>35</v>
      </c>
      <c r="I152" t="s">
        <v>35</v>
      </c>
      <c r="J152" t="s">
        <v>35</v>
      </c>
      <c r="K152" t="s">
        <v>35</v>
      </c>
      <c r="L152" t="s">
        <v>37</v>
      </c>
      <c r="M152" t="s">
        <v>35</v>
      </c>
      <c r="N152" t="s">
        <v>35</v>
      </c>
      <c r="O152" t="str">
        <f t="shared" si="6"/>
        <v>True</v>
      </c>
      <c r="P152" s="3">
        <v>921385.375</v>
      </c>
      <c r="Q152" s="3">
        <v>11758.3877661405</v>
      </c>
      <c r="R152" s="3">
        <v>30086.671703473548</v>
      </c>
      <c r="S152" s="3">
        <v>14176.78663007047</v>
      </c>
      <c r="T152" s="3">
        <v>2777.8773417063021</v>
      </c>
      <c r="U152">
        <v>0.39202462318363529</v>
      </c>
      <c r="V152" s="3">
        <v>-264094.39409640292</v>
      </c>
      <c r="W152">
        <v>28.035844147240379</v>
      </c>
      <c r="X152">
        <v>36.467461195398357</v>
      </c>
      <c r="Y152">
        <v>79.912056402108846</v>
      </c>
      <c r="Z152" s="5">
        <v>0.68665052108637137</v>
      </c>
      <c r="AA152">
        <v>9.7558751191541901</v>
      </c>
      <c r="AB152">
        <v>207.44968510213809</v>
      </c>
      <c r="AC152">
        <v>361.20575444128752</v>
      </c>
      <c r="AD152" s="5">
        <v>0.63519264799665009</v>
      </c>
      <c r="AE152">
        <v>55.497508053006442</v>
      </c>
      <c r="AF152">
        <v>96.630752927043204</v>
      </c>
      <c r="AG152">
        <v>21.378292242404711</v>
      </c>
      <c r="AH152" t="str">
        <f t="shared" si="5"/>
        <v>True</v>
      </c>
      <c r="AI152">
        <v>12</v>
      </c>
    </row>
    <row r="153" spans="1:35" x14ac:dyDescent="0.35">
      <c r="A153" t="s">
        <v>204</v>
      </c>
      <c r="B153" t="s">
        <v>195</v>
      </c>
      <c r="C153" t="s">
        <v>63</v>
      </c>
      <c r="D153" t="s">
        <v>52</v>
      </c>
      <c r="E153" t="s">
        <v>52</v>
      </c>
      <c r="F153" t="s">
        <v>52</v>
      </c>
      <c r="G153" t="s">
        <v>37</v>
      </c>
      <c r="H153" t="s">
        <v>35</v>
      </c>
      <c r="I153" t="s">
        <v>35</v>
      </c>
      <c r="J153" t="s">
        <v>35</v>
      </c>
      <c r="K153" t="s">
        <v>35</v>
      </c>
      <c r="L153" t="s">
        <v>37</v>
      </c>
      <c r="M153" t="s">
        <v>35</v>
      </c>
      <c r="N153" t="s">
        <v>37</v>
      </c>
      <c r="O153" t="str">
        <f t="shared" si="6"/>
        <v>True</v>
      </c>
      <c r="P153" s="3">
        <v>939511.62</v>
      </c>
      <c r="Q153" s="3">
        <v>10618.32190113801</v>
      </c>
      <c r="R153" s="3">
        <v>31226.73756847603</v>
      </c>
      <c r="S153" s="3">
        <v>14178.74592459387</v>
      </c>
      <c r="T153" s="3">
        <v>2775.9180471829009</v>
      </c>
      <c r="U153">
        <v>0.39845162763436698</v>
      </c>
      <c r="V153" s="3">
        <v>-259458.50768682131</v>
      </c>
      <c r="W153">
        <v>27.630536585717</v>
      </c>
      <c r="X153">
        <v>33.482264166056872</v>
      </c>
      <c r="Y153">
        <v>82.897253431450338</v>
      </c>
      <c r="Z153" s="5">
        <v>0.71230105728867499</v>
      </c>
      <c r="AA153">
        <v>8.957267032117942</v>
      </c>
      <c r="AB153">
        <v>194.3055053730246</v>
      </c>
      <c r="AC153">
        <v>374.34993417040101</v>
      </c>
      <c r="AD153" s="5">
        <v>0.65830713669241814</v>
      </c>
      <c r="AE153">
        <v>51.981141084276253</v>
      </c>
      <c r="AF153">
        <v>100.1471198957734</v>
      </c>
      <c r="AG153">
        <v>22.176900329440961</v>
      </c>
      <c r="AH153" t="str">
        <f t="shared" si="5"/>
        <v>True</v>
      </c>
      <c r="AI153">
        <v>12</v>
      </c>
    </row>
    <row r="154" spans="1:35" x14ac:dyDescent="0.35">
      <c r="A154" t="s">
        <v>205</v>
      </c>
      <c r="B154" t="s">
        <v>195</v>
      </c>
      <c r="C154" t="s">
        <v>63</v>
      </c>
      <c r="D154" t="s">
        <v>52</v>
      </c>
      <c r="E154" t="s">
        <v>52</v>
      </c>
      <c r="F154" t="s">
        <v>52</v>
      </c>
      <c r="G154" t="s">
        <v>37</v>
      </c>
      <c r="H154" t="s">
        <v>35</v>
      </c>
      <c r="I154" t="s">
        <v>37</v>
      </c>
      <c r="J154" t="s">
        <v>35</v>
      </c>
      <c r="K154" t="s">
        <v>35</v>
      </c>
      <c r="L154" t="s">
        <v>37</v>
      </c>
      <c r="M154" t="s">
        <v>35</v>
      </c>
      <c r="N154" t="s">
        <v>35</v>
      </c>
      <c r="O154" t="str">
        <f t="shared" si="6"/>
        <v>True</v>
      </c>
      <c r="P154" s="3">
        <v>1784038.375</v>
      </c>
      <c r="Q154" s="3">
        <v>8922.8804794927692</v>
      </c>
      <c r="R154" s="3">
        <v>32922.178990121283</v>
      </c>
      <c r="S154" s="3">
        <v>13915.49642700102</v>
      </c>
      <c r="T154" s="3">
        <v>3039.167544775752</v>
      </c>
      <c r="U154">
        <v>0.221545052957421</v>
      </c>
      <c r="V154" s="3">
        <v>-1064811.444302059</v>
      </c>
      <c r="W154">
        <v>49.609888029881262</v>
      </c>
      <c r="X154">
        <v>28.936382819616131</v>
      </c>
      <c r="Y154">
        <v>87.443134777891075</v>
      </c>
      <c r="Z154" s="5">
        <v>0.75136189411189025</v>
      </c>
      <c r="AA154">
        <v>7.7411404011814149</v>
      </c>
      <c r="AB154">
        <v>173.4105632759792</v>
      </c>
      <c r="AC154">
        <v>395.24487626744639</v>
      </c>
      <c r="AD154" s="5">
        <v>0.6950516055641518</v>
      </c>
      <c r="AE154">
        <v>46.391268934183842</v>
      </c>
      <c r="AF154">
        <v>105.7369920458658</v>
      </c>
      <c r="AG154">
        <v>23.39302696037749</v>
      </c>
      <c r="AH154" t="str">
        <f t="shared" si="5"/>
        <v>True</v>
      </c>
      <c r="AI154">
        <v>12</v>
      </c>
    </row>
    <row r="155" spans="1:35" x14ac:dyDescent="0.35">
      <c r="A155" t="s">
        <v>206</v>
      </c>
      <c r="B155" t="s">
        <v>207</v>
      </c>
      <c r="C155" t="s">
        <v>63</v>
      </c>
      <c r="D155" t="s">
        <v>39</v>
      </c>
      <c r="E155" t="s">
        <v>39</v>
      </c>
      <c r="F155" t="s">
        <v>39</v>
      </c>
      <c r="G155" t="s">
        <v>35</v>
      </c>
      <c r="H155" t="s">
        <v>35</v>
      </c>
      <c r="I155" t="s">
        <v>35</v>
      </c>
      <c r="J155" t="s">
        <v>35</v>
      </c>
      <c r="K155" t="s">
        <v>35</v>
      </c>
      <c r="L155" t="s">
        <v>35</v>
      </c>
      <c r="M155" t="s">
        <v>35</v>
      </c>
      <c r="N155" t="s">
        <v>35</v>
      </c>
      <c r="O155" t="str">
        <f t="shared" si="6"/>
        <v>False</v>
      </c>
      <c r="P155" s="3">
        <v>0</v>
      </c>
      <c r="Q155" s="3">
        <v>38522.057058254089</v>
      </c>
      <c r="R155" s="3">
        <v>0</v>
      </c>
      <c r="S155" s="3">
        <v>20491.062410803981</v>
      </c>
      <c r="T155" s="3">
        <v>0</v>
      </c>
      <c r="U155">
        <v>0</v>
      </c>
      <c r="V155" s="3">
        <v>0</v>
      </c>
      <c r="W155">
        <v>0</v>
      </c>
      <c r="X155">
        <v>109.09070155626431</v>
      </c>
      <c r="Y155">
        <v>-2.8421709430404007E-14</v>
      </c>
      <c r="Z155" s="5">
        <v>-2.6053283208326712E-16</v>
      </c>
      <c r="AA155">
        <v>18.705538675628311</v>
      </c>
      <c r="AB155">
        <v>548.220393557379</v>
      </c>
      <c r="AC155">
        <v>0</v>
      </c>
      <c r="AD155" s="5">
        <v>0</v>
      </c>
      <c r="AE155">
        <v>94.002125095572538</v>
      </c>
      <c r="AF155">
        <v>0</v>
      </c>
      <c r="AG155">
        <v>-3.5527136788005009E-15</v>
      </c>
      <c r="AH155" t="str">
        <f t="shared" si="5"/>
        <v>False</v>
      </c>
      <c r="AI155">
        <v>0</v>
      </c>
    </row>
    <row r="156" spans="1:35" x14ac:dyDescent="0.35">
      <c r="A156" t="s">
        <v>208</v>
      </c>
      <c r="B156" t="s">
        <v>207</v>
      </c>
      <c r="C156" t="s">
        <v>63</v>
      </c>
      <c r="D156" t="s">
        <v>52</v>
      </c>
      <c r="E156" t="s">
        <v>52</v>
      </c>
      <c r="F156" t="s">
        <v>52</v>
      </c>
      <c r="G156" t="s">
        <v>35</v>
      </c>
      <c r="H156" t="s">
        <v>37</v>
      </c>
      <c r="I156" t="s">
        <v>35</v>
      </c>
      <c r="J156" t="s">
        <v>35</v>
      </c>
      <c r="K156" t="s">
        <v>35</v>
      </c>
      <c r="L156" t="s">
        <v>35</v>
      </c>
      <c r="M156" t="s">
        <v>35</v>
      </c>
      <c r="N156" t="s">
        <v>35</v>
      </c>
      <c r="O156" t="str">
        <f t="shared" si="6"/>
        <v>False</v>
      </c>
      <c r="P156" s="3">
        <v>355978.8</v>
      </c>
      <c r="Q156" s="3">
        <v>24689.174691262098</v>
      </c>
      <c r="R156" s="3">
        <v>13832.882366991989</v>
      </c>
      <c r="S156" s="3">
        <v>19212.871692561781</v>
      </c>
      <c r="T156" s="3">
        <v>1278.190718242201</v>
      </c>
      <c r="U156">
        <v>0.46653310331546199</v>
      </c>
      <c r="V156" s="3">
        <v>-53757.338295316273</v>
      </c>
      <c r="W156">
        <v>23.55747986870934</v>
      </c>
      <c r="X156">
        <v>72.349307612256013</v>
      </c>
      <c r="Y156">
        <v>36.741393944008287</v>
      </c>
      <c r="Z156" s="5">
        <v>0.33679675187585678</v>
      </c>
      <c r="AA156">
        <v>12.405574007588481</v>
      </c>
      <c r="AB156">
        <v>382.14449927886483</v>
      </c>
      <c r="AC156">
        <v>166.0758942785142</v>
      </c>
      <c r="AD156" s="5">
        <v>0.30293636688860598</v>
      </c>
      <c r="AE156">
        <v>65.52546283931153</v>
      </c>
      <c r="AF156">
        <v>28.476662256261001</v>
      </c>
      <c r="AG156">
        <v>6.2999646680398307</v>
      </c>
      <c r="AH156" t="str">
        <f t="shared" si="5"/>
        <v>False</v>
      </c>
      <c r="AI156">
        <v>7</v>
      </c>
    </row>
    <row r="157" spans="1:35" x14ac:dyDescent="0.35">
      <c r="A157" t="s">
        <v>209</v>
      </c>
      <c r="B157" t="s">
        <v>207</v>
      </c>
      <c r="C157" t="s">
        <v>63</v>
      </c>
      <c r="D157" t="s">
        <v>52</v>
      </c>
      <c r="E157" t="s">
        <v>52</v>
      </c>
      <c r="F157" t="s">
        <v>52</v>
      </c>
      <c r="G157" t="s">
        <v>35</v>
      </c>
      <c r="H157" t="s">
        <v>37</v>
      </c>
      <c r="I157" t="s">
        <v>35</v>
      </c>
      <c r="J157" t="s">
        <v>37</v>
      </c>
      <c r="K157" t="s">
        <v>35</v>
      </c>
      <c r="L157" t="s">
        <v>35</v>
      </c>
      <c r="M157" t="s">
        <v>37</v>
      </c>
      <c r="N157" t="s">
        <v>35</v>
      </c>
      <c r="O157" t="str">
        <f t="shared" si="6"/>
        <v>True</v>
      </c>
      <c r="P157" s="3">
        <v>1691225.8</v>
      </c>
      <c r="Q157" s="3">
        <v>12842.041645379941</v>
      </c>
      <c r="R157" s="3">
        <v>25680.015412874149</v>
      </c>
      <c r="S157" s="3">
        <v>18115.991341273941</v>
      </c>
      <c r="T157" s="3">
        <v>2375.0710695300359</v>
      </c>
      <c r="U157">
        <v>0.1823069104265852</v>
      </c>
      <c r="V157" s="3">
        <v>-1130124.0703519159</v>
      </c>
      <c r="W157">
        <v>60.282323530198951</v>
      </c>
      <c r="X157">
        <v>40.881373500871497</v>
      </c>
      <c r="Y157">
        <v>68.209328055392803</v>
      </c>
      <c r="Z157" s="5">
        <v>0.62525336332366843</v>
      </c>
      <c r="AA157">
        <v>7.0098377059107504</v>
      </c>
      <c r="AB157">
        <v>239.89824312564909</v>
      </c>
      <c r="AC157">
        <v>308.32215043172988</v>
      </c>
      <c r="AD157" s="5">
        <v>0.56240547424921661</v>
      </c>
      <c r="AE157">
        <v>41.134815350762878</v>
      </c>
      <c r="AF157">
        <v>52.867309744809653</v>
      </c>
      <c r="AG157">
        <v>11.69570096971756</v>
      </c>
      <c r="AH157" t="str">
        <f t="shared" si="5"/>
        <v>True</v>
      </c>
      <c r="AI157">
        <v>7</v>
      </c>
    </row>
    <row r="158" spans="1:35" x14ac:dyDescent="0.35">
      <c r="A158" t="s">
        <v>210</v>
      </c>
      <c r="B158" t="s">
        <v>207</v>
      </c>
      <c r="C158" t="s">
        <v>63</v>
      </c>
      <c r="D158" t="s">
        <v>52</v>
      </c>
      <c r="E158" t="s">
        <v>52</v>
      </c>
      <c r="F158" t="s">
        <v>52</v>
      </c>
      <c r="G158" t="s">
        <v>37</v>
      </c>
      <c r="H158" t="s">
        <v>35</v>
      </c>
      <c r="I158" t="s">
        <v>35</v>
      </c>
      <c r="J158" t="s">
        <v>35</v>
      </c>
      <c r="K158" t="s">
        <v>35</v>
      </c>
      <c r="L158" t="s">
        <v>35</v>
      </c>
      <c r="M158" t="s">
        <v>35</v>
      </c>
      <c r="N158" t="s">
        <v>35</v>
      </c>
      <c r="O158" t="str">
        <f t="shared" si="6"/>
        <v>False</v>
      </c>
      <c r="P158" s="3">
        <v>148324.5</v>
      </c>
      <c r="Q158" s="3">
        <v>24689.174691262098</v>
      </c>
      <c r="R158" s="3">
        <v>13832.882366991989</v>
      </c>
      <c r="S158" s="3">
        <v>19212.871692561781</v>
      </c>
      <c r="T158" s="3">
        <v>1278.190718242201</v>
      </c>
      <c r="U158">
        <v>1.1196794479571091</v>
      </c>
      <c r="V158" s="3">
        <v>153896.96170468369</v>
      </c>
      <c r="W158">
        <v>9.8156166119622288</v>
      </c>
      <c r="X158">
        <v>72.349307612256013</v>
      </c>
      <c r="Y158">
        <v>36.741393944008287</v>
      </c>
      <c r="Z158" s="5">
        <v>0.33679675187585678</v>
      </c>
      <c r="AA158">
        <v>12.405574007588481</v>
      </c>
      <c r="AB158">
        <v>382.14449927886483</v>
      </c>
      <c r="AC158">
        <v>166.0758942785142</v>
      </c>
      <c r="AD158" s="5">
        <v>0.30293636688860598</v>
      </c>
      <c r="AE158">
        <v>65.52546283931153</v>
      </c>
      <c r="AF158">
        <v>28.476662256261001</v>
      </c>
      <c r="AG158">
        <v>6.2999646680398307</v>
      </c>
      <c r="AH158" t="str">
        <f t="shared" si="5"/>
        <v>True</v>
      </c>
      <c r="AI158">
        <v>10</v>
      </c>
    </row>
    <row r="159" spans="1:35" x14ac:dyDescent="0.35">
      <c r="A159" t="s">
        <v>211</v>
      </c>
      <c r="B159" t="s">
        <v>207</v>
      </c>
      <c r="C159" t="s">
        <v>63</v>
      </c>
      <c r="D159" t="s">
        <v>39</v>
      </c>
      <c r="E159" t="s">
        <v>39</v>
      </c>
      <c r="F159" t="s">
        <v>39</v>
      </c>
      <c r="G159" t="s">
        <v>35</v>
      </c>
      <c r="H159" t="s">
        <v>35</v>
      </c>
      <c r="I159" t="s">
        <v>35</v>
      </c>
      <c r="J159" t="s">
        <v>35</v>
      </c>
      <c r="K159" t="s">
        <v>35</v>
      </c>
      <c r="L159" t="s">
        <v>35</v>
      </c>
      <c r="M159" t="s">
        <v>35</v>
      </c>
      <c r="N159" t="s">
        <v>37</v>
      </c>
      <c r="O159" t="str">
        <f t="shared" si="6"/>
        <v>False</v>
      </c>
      <c r="P159" s="3">
        <v>46728.5</v>
      </c>
      <c r="Q159" s="3">
        <v>35620.632583097147</v>
      </c>
      <c r="R159" s="3">
        <v>2901.4244751569422</v>
      </c>
      <c r="S159" s="3">
        <v>20492.572282221161</v>
      </c>
      <c r="T159" s="3">
        <v>-1.5098714171809391</v>
      </c>
      <c r="U159">
        <v>0.71624473779151887</v>
      </c>
      <c r="V159" s="3">
        <v>11269.79207479523</v>
      </c>
      <c r="W159">
        <v>16.11375036345499</v>
      </c>
      <c r="X159">
        <v>101.492097522131</v>
      </c>
      <c r="Y159">
        <v>7.5986040341332881</v>
      </c>
      <c r="Z159" s="5">
        <v>6.9654002822726796E-2</v>
      </c>
      <c r="AA159">
        <v>17.402623031915471</v>
      </c>
      <c r="AB159">
        <v>514.75135132748801</v>
      </c>
      <c r="AC159">
        <v>33.469042229890988</v>
      </c>
      <c r="AD159" s="5">
        <v>6.1050341474369003E-2</v>
      </c>
      <c r="AE159">
        <v>88.263263259171467</v>
      </c>
      <c r="AF159">
        <v>5.7388618364010613</v>
      </c>
      <c r="AG159">
        <v>1.30291564371284</v>
      </c>
      <c r="AH159" t="str">
        <f t="shared" si="5"/>
        <v>False</v>
      </c>
      <c r="AI159">
        <v>0</v>
      </c>
    </row>
    <row r="160" spans="1:35" x14ac:dyDescent="0.35">
      <c r="A160" t="s">
        <v>212</v>
      </c>
      <c r="B160" t="s">
        <v>207</v>
      </c>
      <c r="C160" t="s">
        <v>63</v>
      </c>
      <c r="D160" t="s">
        <v>52</v>
      </c>
      <c r="E160" t="s">
        <v>52</v>
      </c>
      <c r="F160" t="s">
        <v>52</v>
      </c>
      <c r="G160" t="s">
        <v>35</v>
      </c>
      <c r="H160" t="s">
        <v>35</v>
      </c>
      <c r="I160" t="s">
        <v>35</v>
      </c>
      <c r="J160" t="s">
        <v>37</v>
      </c>
      <c r="K160" t="s">
        <v>35</v>
      </c>
      <c r="L160" t="s">
        <v>35</v>
      </c>
      <c r="M160" t="s">
        <v>35</v>
      </c>
      <c r="N160" t="s">
        <v>35</v>
      </c>
      <c r="O160" t="str">
        <f t="shared" si="6"/>
        <v>False</v>
      </c>
      <c r="P160" s="3">
        <v>889947</v>
      </c>
      <c r="Q160" s="3">
        <v>29918.689130980769</v>
      </c>
      <c r="R160" s="3">
        <v>8603.3679272733189</v>
      </c>
      <c r="S160" s="3">
        <v>19695.612545261811</v>
      </c>
      <c r="T160" s="3">
        <v>795.44986554216666</v>
      </c>
      <c r="U160">
        <v>0.11606691889532721</v>
      </c>
      <c r="V160" s="3">
        <v>-701970.64414369036</v>
      </c>
      <c r="W160">
        <v>94.687121254790256</v>
      </c>
      <c r="X160">
        <v>86.239182282817239</v>
      </c>
      <c r="Y160">
        <v>22.851519273447071</v>
      </c>
      <c r="Z160" s="5">
        <v>0.20947265850757441</v>
      </c>
      <c r="AA160">
        <v>14.7872397604282</v>
      </c>
      <c r="AB160">
        <v>444.92698728723929</v>
      </c>
      <c r="AC160">
        <v>103.2934062701397</v>
      </c>
      <c r="AD160" s="5">
        <v>0.18841584057074781</v>
      </c>
      <c r="AE160">
        <v>76.290635680253644</v>
      </c>
      <c r="AF160">
        <v>17.71148941531888</v>
      </c>
      <c r="AG160">
        <v>3.9182989152001149</v>
      </c>
      <c r="AH160" t="str">
        <f t="shared" si="5"/>
        <v>True</v>
      </c>
      <c r="AI160">
        <v>4</v>
      </c>
    </row>
    <row r="161" spans="1:35" x14ac:dyDescent="0.35">
      <c r="A161" t="s">
        <v>213</v>
      </c>
      <c r="B161" t="s">
        <v>207</v>
      </c>
      <c r="C161" t="s">
        <v>63</v>
      </c>
      <c r="D161" t="s">
        <v>52</v>
      </c>
      <c r="E161" t="s">
        <v>39</v>
      </c>
      <c r="F161" t="s">
        <v>39</v>
      </c>
      <c r="G161" t="s">
        <v>35</v>
      </c>
      <c r="H161" t="s">
        <v>35</v>
      </c>
      <c r="I161" t="s">
        <v>35</v>
      </c>
      <c r="J161" t="s">
        <v>35</v>
      </c>
      <c r="K161" t="s">
        <v>35</v>
      </c>
      <c r="L161" t="s">
        <v>35</v>
      </c>
      <c r="M161" t="s">
        <v>37</v>
      </c>
      <c r="N161" t="s">
        <v>35</v>
      </c>
      <c r="O161" t="str">
        <f t="shared" si="6"/>
        <v>False</v>
      </c>
      <c r="P161" s="3">
        <v>445300</v>
      </c>
      <c r="Q161" s="3">
        <v>32837.057026809503</v>
      </c>
      <c r="R161" s="3">
        <v>5685.0000314445906</v>
      </c>
      <c r="S161" s="3">
        <v>20393.167522295291</v>
      </c>
      <c r="T161" s="3">
        <v>97.89488850869192</v>
      </c>
      <c r="U161">
        <v>0.1484152295049696</v>
      </c>
      <c r="V161" s="3">
        <v>-329642.10160093429</v>
      </c>
      <c r="W161">
        <v>77.00295546846931</v>
      </c>
      <c r="X161">
        <v>94.161789278281859</v>
      </c>
      <c r="Y161">
        <v>14.92891227798245</v>
      </c>
      <c r="Z161" s="5">
        <v>0.1368486228891172</v>
      </c>
      <c r="AA161">
        <v>16.14571146746945</v>
      </c>
      <c r="AB161">
        <v>482.13109185881598</v>
      </c>
      <c r="AC161">
        <v>66.089301698562963</v>
      </c>
      <c r="AD161" s="5">
        <v>0.1205524319693988</v>
      </c>
      <c r="AE161">
        <v>82.669940305009604</v>
      </c>
      <c r="AF161">
        <v>11.33218479056292</v>
      </c>
      <c r="AG161">
        <v>2.559827208158858</v>
      </c>
      <c r="AH161" t="str">
        <f t="shared" si="5"/>
        <v>False</v>
      </c>
      <c r="AI161">
        <v>0</v>
      </c>
    </row>
    <row r="162" spans="1:35" x14ac:dyDescent="0.35">
      <c r="A162" t="s">
        <v>214</v>
      </c>
      <c r="B162" t="s">
        <v>207</v>
      </c>
      <c r="C162" t="s">
        <v>63</v>
      </c>
      <c r="D162" t="s">
        <v>52</v>
      </c>
      <c r="E162" t="s">
        <v>52</v>
      </c>
      <c r="F162" t="s">
        <v>52</v>
      </c>
      <c r="G162" t="s">
        <v>37</v>
      </c>
      <c r="H162" t="s">
        <v>35</v>
      </c>
      <c r="I162" t="s">
        <v>35</v>
      </c>
      <c r="J162" t="s">
        <v>37</v>
      </c>
      <c r="K162" t="s">
        <v>35</v>
      </c>
      <c r="L162" t="s">
        <v>35</v>
      </c>
      <c r="M162" t="s">
        <v>35</v>
      </c>
      <c r="N162" t="s">
        <v>35</v>
      </c>
      <c r="O162" t="str">
        <f t="shared" si="6"/>
        <v>True</v>
      </c>
      <c r="P162" s="3">
        <v>1038271.5</v>
      </c>
      <c r="Q162" s="3">
        <v>17336.383948013579</v>
      </c>
      <c r="R162" s="3">
        <v>21185.673110240499</v>
      </c>
      <c r="S162" s="3">
        <v>18532.861922766111</v>
      </c>
      <c r="T162" s="3">
        <v>1958.2004880378729</v>
      </c>
      <c r="U162">
        <v>0.24497986505892691</v>
      </c>
      <c r="V162" s="3">
        <v>-575394.02803443244</v>
      </c>
      <c r="W162">
        <v>44.861612970321218</v>
      </c>
      <c r="X162">
        <v>52.819388638947032</v>
      </c>
      <c r="Y162">
        <v>56.271312917317267</v>
      </c>
      <c r="Z162" s="5">
        <v>0.51582134970774707</v>
      </c>
      <c r="AA162">
        <v>9.0568224689552537</v>
      </c>
      <c r="AB162">
        <v>293.8647815928494</v>
      </c>
      <c r="AC162">
        <v>254.3556119645296</v>
      </c>
      <c r="AD162" s="5">
        <v>0.46396597965651509</v>
      </c>
      <c r="AE162">
        <v>50.388337035810942</v>
      </c>
      <c r="AF162">
        <v>43.613788059761603</v>
      </c>
      <c r="AG162">
        <v>9.6487162066730576</v>
      </c>
      <c r="AH162" t="str">
        <f t="shared" si="5"/>
        <v>True</v>
      </c>
      <c r="AI162">
        <v>10</v>
      </c>
    </row>
    <row r="163" spans="1:35" x14ac:dyDescent="0.35">
      <c r="A163" t="s">
        <v>215</v>
      </c>
      <c r="B163" t="s">
        <v>207</v>
      </c>
      <c r="C163" t="s">
        <v>63</v>
      </c>
      <c r="D163" t="s">
        <v>52</v>
      </c>
      <c r="E163" t="s">
        <v>52</v>
      </c>
      <c r="F163" t="s">
        <v>52</v>
      </c>
      <c r="G163" t="s">
        <v>37</v>
      </c>
      <c r="H163" t="s">
        <v>35</v>
      </c>
      <c r="I163" t="s">
        <v>35</v>
      </c>
      <c r="J163" t="s">
        <v>35</v>
      </c>
      <c r="K163" t="s">
        <v>35</v>
      </c>
      <c r="L163" t="s">
        <v>35</v>
      </c>
      <c r="M163" t="s">
        <v>35</v>
      </c>
      <c r="N163" t="s">
        <v>37</v>
      </c>
      <c r="O163" t="str">
        <f t="shared" si="6"/>
        <v>True</v>
      </c>
      <c r="P163" s="3">
        <v>179144.91923806979</v>
      </c>
      <c r="Q163" s="3">
        <v>22764.51796297637</v>
      </c>
      <c r="R163" s="3">
        <v>15757.53909527772</v>
      </c>
      <c r="S163" s="3">
        <v>19214.381563302381</v>
      </c>
      <c r="T163" s="3">
        <v>1276.680847501596</v>
      </c>
      <c r="U163">
        <v>1.0509646251395159</v>
      </c>
      <c r="V163" s="3">
        <v>161539.47961751651</v>
      </c>
      <c r="W163">
        <v>10.51676682817566</v>
      </c>
      <c r="X163">
        <v>67.308985319397749</v>
      </c>
      <c r="Y163">
        <v>41.781716236866558</v>
      </c>
      <c r="Z163" s="5">
        <v>0.38299979412376722</v>
      </c>
      <c r="AA163">
        <v>11.5413212138885</v>
      </c>
      <c r="AB163">
        <v>359.94542066469211</v>
      </c>
      <c r="AC163">
        <v>188.27497289268689</v>
      </c>
      <c r="AD163" s="5">
        <v>0.34342934904515049</v>
      </c>
      <c r="AE163">
        <v>61.719036465139247</v>
      </c>
      <c r="AF163">
        <v>32.283088630433276</v>
      </c>
      <c r="AG163">
        <v>7.164217461739808</v>
      </c>
      <c r="AH163" t="str">
        <f t="shared" si="5"/>
        <v>True</v>
      </c>
      <c r="AI163">
        <v>10</v>
      </c>
    </row>
    <row r="164" spans="1:35" x14ac:dyDescent="0.35">
      <c r="A164" t="s">
        <v>216</v>
      </c>
      <c r="B164" t="s">
        <v>207</v>
      </c>
      <c r="C164" t="s">
        <v>63</v>
      </c>
      <c r="D164" t="s">
        <v>52</v>
      </c>
      <c r="E164" t="s">
        <v>52</v>
      </c>
      <c r="F164" t="s">
        <v>52</v>
      </c>
      <c r="G164" t="s">
        <v>35</v>
      </c>
      <c r="H164" t="s">
        <v>35</v>
      </c>
      <c r="I164" t="s">
        <v>35</v>
      </c>
      <c r="J164" t="s">
        <v>37</v>
      </c>
      <c r="K164" t="s">
        <v>35</v>
      </c>
      <c r="L164" t="s">
        <v>35</v>
      </c>
      <c r="M164" t="s">
        <v>35</v>
      </c>
      <c r="N164" t="s">
        <v>37</v>
      </c>
      <c r="O164" t="str">
        <f t="shared" si="6"/>
        <v>True</v>
      </c>
      <c r="P164" s="3">
        <v>925477.26</v>
      </c>
      <c r="Q164" s="3">
        <v>27501.042390240229</v>
      </c>
      <c r="R164" s="3">
        <v>11021.014668013861</v>
      </c>
      <c r="S164" s="3">
        <v>19697.122416949289</v>
      </c>
      <c r="T164" s="3">
        <v>793.93999385468624</v>
      </c>
      <c r="U164">
        <v>0.1417437446306764</v>
      </c>
      <c r="V164" s="3">
        <v>-689178.16676262906</v>
      </c>
      <c r="W164">
        <v>78.331003925632928</v>
      </c>
      <c r="X164">
        <v>79.907655042521398</v>
      </c>
      <c r="Y164">
        <v>29.183046513742909</v>
      </c>
      <c r="Z164" s="5">
        <v>0.26751176862394221</v>
      </c>
      <c r="AA164">
        <v>13.701586941447429</v>
      </c>
      <c r="AB164">
        <v>417.0397811544409</v>
      </c>
      <c r="AC164">
        <v>131.1806124029381</v>
      </c>
      <c r="AD164" s="5">
        <v>0.23928444462219409</v>
      </c>
      <c r="AE164">
        <v>71.508878798772443</v>
      </c>
      <c r="AF164">
        <v>22.493246296800091</v>
      </c>
      <c r="AG164">
        <v>5.0039517341808839</v>
      </c>
      <c r="AH164" t="str">
        <f t="shared" si="5"/>
        <v>True</v>
      </c>
      <c r="AI164">
        <v>4</v>
      </c>
    </row>
    <row r="165" spans="1:35" x14ac:dyDescent="0.35">
      <c r="A165" t="s">
        <v>217</v>
      </c>
      <c r="B165" t="s">
        <v>207</v>
      </c>
      <c r="C165" t="s">
        <v>63</v>
      </c>
      <c r="D165" t="s">
        <v>52</v>
      </c>
      <c r="E165" t="s">
        <v>52</v>
      </c>
      <c r="F165" t="s">
        <v>52</v>
      </c>
      <c r="G165" t="s">
        <v>35</v>
      </c>
      <c r="H165" t="s">
        <v>37</v>
      </c>
      <c r="I165" t="s">
        <v>35</v>
      </c>
      <c r="J165" t="s">
        <v>37</v>
      </c>
      <c r="K165" t="s">
        <v>35</v>
      </c>
      <c r="L165" t="s">
        <v>35</v>
      </c>
      <c r="M165" t="s">
        <v>35</v>
      </c>
      <c r="N165" t="s">
        <v>37</v>
      </c>
      <c r="O165" t="str">
        <f t="shared" si="6"/>
        <v>True</v>
      </c>
      <c r="P165" s="3">
        <v>1269626.46</v>
      </c>
      <c r="Q165" s="3">
        <v>15831.84837012987</v>
      </c>
      <c r="R165" s="3">
        <v>22690.208688124221</v>
      </c>
      <c r="S165" s="3">
        <v>18534.371794231811</v>
      </c>
      <c r="T165" s="3">
        <v>1956.690616572168</v>
      </c>
      <c r="U165">
        <v>0.21400572045162791</v>
      </c>
      <c r="V165" s="3">
        <v>-776688.47390607221</v>
      </c>
      <c r="W165">
        <v>51.512624135973027</v>
      </c>
      <c r="X165">
        <v>48.879418269088589</v>
      </c>
      <c r="Y165">
        <v>60.211283287175718</v>
      </c>
      <c r="Z165" s="5">
        <v>0.55193781347277626</v>
      </c>
      <c r="AA165">
        <v>8.3812445591715683</v>
      </c>
      <c r="AB165">
        <v>276.51306828062911</v>
      </c>
      <c r="AC165">
        <v>271.70732527674988</v>
      </c>
      <c r="AD165" s="5">
        <v>0.4956169607512273</v>
      </c>
      <c r="AE165">
        <v>47.413077551548213</v>
      </c>
      <c r="AF165">
        <v>46.589047544024332</v>
      </c>
      <c r="AG165">
        <v>10.324294116456739</v>
      </c>
      <c r="AH165" t="str">
        <f t="shared" si="5"/>
        <v>True</v>
      </c>
      <c r="AI165">
        <v>7</v>
      </c>
    </row>
    <row r="166" spans="1:35" x14ac:dyDescent="0.35">
      <c r="A166" t="s">
        <v>218</v>
      </c>
      <c r="B166" t="s">
        <v>219</v>
      </c>
      <c r="C166" t="s">
        <v>63</v>
      </c>
      <c r="D166" t="s">
        <v>39</v>
      </c>
      <c r="E166" t="s">
        <v>39</v>
      </c>
      <c r="F166" t="s">
        <v>39</v>
      </c>
      <c r="G166" t="s">
        <v>35</v>
      </c>
      <c r="H166" t="s">
        <v>35</v>
      </c>
      <c r="I166" t="s">
        <v>35</v>
      </c>
      <c r="J166" t="s">
        <v>35</v>
      </c>
      <c r="K166" t="s">
        <v>35</v>
      </c>
      <c r="L166" t="s">
        <v>35</v>
      </c>
      <c r="M166" t="s">
        <v>35</v>
      </c>
      <c r="N166" t="s">
        <v>35</v>
      </c>
      <c r="O166" t="str">
        <f t="shared" si="6"/>
        <v>False</v>
      </c>
      <c r="P166" s="3">
        <v>0</v>
      </c>
      <c r="Q166" s="3">
        <v>29151.782761532439</v>
      </c>
      <c r="R166" s="3">
        <v>0</v>
      </c>
      <c r="S166" s="3">
        <v>18496.893319395691</v>
      </c>
      <c r="T166" s="3">
        <v>0</v>
      </c>
      <c r="U166">
        <v>0</v>
      </c>
      <c r="V166" s="3">
        <v>0</v>
      </c>
      <c r="W166">
        <v>0</v>
      </c>
      <c r="X166">
        <v>83.75106708739672</v>
      </c>
      <c r="Y166">
        <v>0</v>
      </c>
      <c r="Z166" s="5">
        <v>0</v>
      </c>
      <c r="AA166">
        <v>24.510116209363979</v>
      </c>
      <c r="AB166">
        <v>430.0089435349671</v>
      </c>
      <c r="AC166">
        <v>0</v>
      </c>
      <c r="AD166" s="5">
        <v>0</v>
      </c>
      <c r="AE166">
        <v>125.8439986932886</v>
      </c>
      <c r="AF166">
        <v>0</v>
      </c>
      <c r="AG166">
        <v>0</v>
      </c>
      <c r="AH166" t="str">
        <f t="shared" si="5"/>
        <v>False</v>
      </c>
      <c r="AI166">
        <v>0</v>
      </c>
    </row>
    <row r="167" spans="1:35" x14ac:dyDescent="0.35">
      <c r="A167" t="s">
        <v>220</v>
      </c>
      <c r="B167" t="s">
        <v>219</v>
      </c>
      <c r="C167" t="s">
        <v>63</v>
      </c>
      <c r="D167" t="s">
        <v>39</v>
      </c>
      <c r="E167" t="s">
        <v>39</v>
      </c>
      <c r="F167" t="s">
        <v>39</v>
      </c>
      <c r="G167" t="s">
        <v>35</v>
      </c>
      <c r="H167" t="s">
        <v>37</v>
      </c>
      <c r="I167" t="s">
        <v>35</v>
      </c>
      <c r="J167" t="s">
        <v>35</v>
      </c>
      <c r="K167" t="s">
        <v>35</v>
      </c>
      <c r="L167" t="s">
        <v>35</v>
      </c>
      <c r="M167" t="s">
        <v>35</v>
      </c>
      <c r="N167" t="s">
        <v>35</v>
      </c>
      <c r="O167" t="str">
        <f t="shared" si="6"/>
        <v>False</v>
      </c>
      <c r="P167" s="3">
        <v>228505.05</v>
      </c>
      <c r="Q167" s="3">
        <v>21034.954168042521</v>
      </c>
      <c r="R167" s="3">
        <v>8116.8285934899204</v>
      </c>
      <c r="S167" s="3">
        <v>17746.016457047699</v>
      </c>
      <c r="T167" s="3">
        <v>750.87686234798957</v>
      </c>
      <c r="U167">
        <v>0.42648519452733002</v>
      </c>
      <c r="V167" s="3">
        <v>-51150.940883241798</v>
      </c>
      <c r="W167">
        <v>25.768227320807931</v>
      </c>
      <c r="X167">
        <v>62.191686796799139</v>
      </c>
      <c r="Y167">
        <v>21.559380290597581</v>
      </c>
      <c r="Z167" s="5">
        <v>0.2574221564018967</v>
      </c>
      <c r="AA167">
        <v>18.20066924108842</v>
      </c>
      <c r="AB167">
        <v>332.55492283523978</v>
      </c>
      <c r="AC167">
        <v>97.45402069972728</v>
      </c>
      <c r="AD167" s="5">
        <v>0.22663254372941341</v>
      </c>
      <c r="AE167">
        <v>97.323653156347646</v>
      </c>
      <c r="AF167">
        <v>28.520345536940962</v>
      </c>
      <c r="AG167">
        <v>6.3094469682755552</v>
      </c>
      <c r="AH167" t="str">
        <f t="shared" si="5"/>
        <v>False</v>
      </c>
      <c r="AI167">
        <v>5</v>
      </c>
    </row>
    <row r="168" spans="1:35" x14ac:dyDescent="0.35">
      <c r="A168" t="s">
        <v>221</v>
      </c>
      <c r="B168" t="s">
        <v>219</v>
      </c>
      <c r="C168" t="s">
        <v>63</v>
      </c>
      <c r="D168" t="s">
        <v>52</v>
      </c>
      <c r="E168" t="s">
        <v>52</v>
      </c>
      <c r="F168" t="s">
        <v>52</v>
      </c>
      <c r="G168" t="s">
        <v>35</v>
      </c>
      <c r="H168" t="s">
        <v>37</v>
      </c>
      <c r="I168" t="s">
        <v>37</v>
      </c>
      <c r="J168" t="s">
        <v>35</v>
      </c>
      <c r="K168" t="s">
        <v>35</v>
      </c>
      <c r="L168" t="s">
        <v>37</v>
      </c>
      <c r="M168" t="s">
        <v>35</v>
      </c>
      <c r="N168" t="s">
        <v>37</v>
      </c>
      <c r="O168" t="str">
        <f t="shared" si="6"/>
        <v>True</v>
      </c>
      <c r="P168" s="3">
        <v>1313775.26</v>
      </c>
      <c r="Q168" s="3">
        <v>11257.78004358555</v>
      </c>
      <c r="R168" s="3">
        <v>17894.002717946889</v>
      </c>
      <c r="S168" s="3">
        <v>16961.674214073792</v>
      </c>
      <c r="T168" s="3">
        <v>1535.219105321898</v>
      </c>
      <c r="U168">
        <v>0.16306790752238329</v>
      </c>
      <c r="V168" s="3">
        <v>-925190.82353462419</v>
      </c>
      <c r="W168">
        <v>67.61852183017433</v>
      </c>
      <c r="X168">
        <v>36.270259507873888</v>
      </c>
      <c r="Y168">
        <v>47.480807579522832</v>
      </c>
      <c r="Z168" s="5">
        <v>0.56692779245397795</v>
      </c>
      <c r="AA168">
        <v>10.614650133998801</v>
      </c>
      <c r="AB168">
        <v>215.77436093209201</v>
      </c>
      <c r="AC168">
        <v>214.23458260287509</v>
      </c>
      <c r="AD168" s="5">
        <v>0.49820959732074538</v>
      </c>
      <c r="AE168">
        <v>63.147310779072868</v>
      </c>
      <c r="AF168">
        <v>62.696687914215723</v>
      </c>
      <c r="AG168">
        <v>13.89546607536518</v>
      </c>
      <c r="AH168" t="str">
        <f t="shared" si="5"/>
        <v>True</v>
      </c>
      <c r="AI168">
        <v>10</v>
      </c>
    </row>
    <row r="169" spans="1:35" x14ac:dyDescent="0.35">
      <c r="A169" t="s">
        <v>222</v>
      </c>
      <c r="B169" t="s">
        <v>219</v>
      </c>
      <c r="C169" t="s">
        <v>63</v>
      </c>
      <c r="D169" t="s">
        <v>39</v>
      </c>
      <c r="E169" t="s">
        <v>39</v>
      </c>
      <c r="F169" t="s">
        <v>39</v>
      </c>
      <c r="G169" t="s">
        <v>35</v>
      </c>
      <c r="H169" t="s">
        <v>35</v>
      </c>
      <c r="I169" t="s">
        <v>35</v>
      </c>
      <c r="J169" t="s">
        <v>35</v>
      </c>
      <c r="K169" t="s">
        <v>35</v>
      </c>
      <c r="L169" t="s">
        <v>37</v>
      </c>
      <c r="M169" t="s">
        <v>35</v>
      </c>
      <c r="N169" t="s">
        <v>35</v>
      </c>
      <c r="O169" t="str">
        <f t="shared" si="6"/>
        <v>False</v>
      </c>
      <c r="P169" s="3">
        <v>602239.875</v>
      </c>
      <c r="Q169" s="3">
        <v>26157.402918857111</v>
      </c>
      <c r="R169" s="3">
        <v>2994.3798426753319</v>
      </c>
      <c r="S169" s="3">
        <v>18219.604478400801</v>
      </c>
      <c r="T169" s="3">
        <v>277.28884099489022</v>
      </c>
      <c r="U169">
        <v>5.9699138922323397E-2</v>
      </c>
      <c r="V169" s="3">
        <v>-536806.50132659555</v>
      </c>
      <c r="W169">
        <v>184.077280809619</v>
      </c>
      <c r="X169">
        <v>75.797481373459817</v>
      </c>
      <c r="Y169">
        <v>7.9535857139369028</v>
      </c>
      <c r="Z169" s="5">
        <v>9.49669776223519E-2</v>
      </c>
      <c r="AA169">
        <v>22.182464551788069</v>
      </c>
      <c r="AB169">
        <v>394.05574157277943</v>
      </c>
      <c r="AC169">
        <v>35.953201962187727</v>
      </c>
      <c r="AD169" s="5">
        <v>8.3610358581446803E-2</v>
      </c>
      <c r="AE169">
        <v>115.3221368372196</v>
      </c>
      <c r="AF169">
        <v>10.521861856068989</v>
      </c>
      <c r="AG169">
        <v>2.3276516575759132</v>
      </c>
      <c r="AH169" t="str">
        <f t="shared" si="5"/>
        <v>False</v>
      </c>
      <c r="AI169">
        <v>10</v>
      </c>
    </row>
    <row r="170" spans="1:35" x14ac:dyDescent="0.35">
      <c r="A170" t="s">
        <v>223</v>
      </c>
      <c r="B170" t="s">
        <v>219</v>
      </c>
      <c r="C170" t="s">
        <v>63</v>
      </c>
      <c r="D170" t="s">
        <v>39</v>
      </c>
      <c r="E170" t="s">
        <v>39</v>
      </c>
      <c r="F170" t="s">
        <v>39</v>
      </c>
      <c r="G170" t="s">
        <v>35</v>
      </c>
      <c r="H170" t="s">
        <v>35</v>
      </c>
      <c r="I170" t="s">
        <v>35</v>
      </c>
      <c r="J170" t="s">
        <v>35</v>
      </c>
      <c r="K170" t="s">
        <v>37</v>
      </c>
      <c r="L170" t="s">
        <v>35</v>
      </c>
      <c r="M170" t="s">
        <v>35</v>
      </c>
      <c r="N170" t="s">
        <v>35</v>
      </c>
      <c r="O170" t="str">
        <f t="shared" si="6"/>
        <v>False</v>
      </c>
      <c r="P170" s="3">
        <v>226725.6</v>
      </c>
      <c r="Q170" s="3">
        <v>23483.5390489936</v>
      </c>
      <c r="R170" s="3">
        <v>5668.2437125388406</v>
      </c>
      <c r="S170" s="3">
        <v>17978.590098474098</v>
      </c>
      <c r="T170" s="3">
        <v>518.30322092158963</v>
      </c>
      <c r="U170">
        <v>0.3000305954760385</v>
      </c>
      <c r="V170" s="3">
        <v>-102994.66133079139</v>
      </c>
      <c r="W170">
        <v>36.648166164187103</v>
      </c>
      <c r="X170">
        <v>68.697878454545375</v>
      </c>
      <c r="Y170">
        <v>15.05318863285135</v>
      </c>
      <c r="Z170" s="5">
        <v>0.1797372756712807</v>
      </c>
      <c r="AA170">
        <v>20.104734695506409</v>
      </c>
      <c r="AB170">
        <v>361.98432675730498</v>
      </c>
      <c r="AC170">
        <v>68.024616777662118</v>
      </c>
      <c r="AD170" s="5">
        <v>0.15819349295029381</v>
      </c>
      <c r="AE170">
        <v>105.9362969731651</v>
      </c>
      <c r="AF170">
        <v>19.90770172012353</v>
      </c>
      <c r="AG170">
        <v>4.4053815138575736</v>
      </c>
      <c r="AH170" t="str">
        <f t="shared" si="5"/>
        <v>False</v>
      </c>
      <c r="AI170">
        <v>6</v>
      </c>
    </row>
    <row r="171" spans="1:35" x14ac:dyDescent="0.35">
      <c r="A171" t="s">
        <v>224</v>
      </c>
      <c r="B171" t="s">
        <v>219</v>
      </c>
      <c r="C171" t="s">
        <v>63</v>
      </c>
      <c r="D171" t="s">
        <v>39</v>
      </c>
      <c r="E171" t="s">
        <v>39</v>
      </c>
      <c r="F171" t="s">
        <v>39</v>
      </c>
      <c r="G171" t="s">
        <v>35</v>
      </c>
      <c r="H171" t="s">
        <v>35</v>
      </c>
      <c r="I171" t="s">
        <v>37</v>
      </c>
      <c r="J171" t="s">
        <v>35</v>
      </c>
      <c r="K171" t="s">
        <v>35</v>
      </c>
      <c r="L171" t="s">
        <v>35</v>
      </c>
      <c r="M171" t="s">
        <v>35</v>
      </c>
      <c r="N171" t="s">
        <v>35</v>
      </c>
      <c r="O171" t="str">
        <f t="shared" si="6"/>
        <v>False</v>
      </c>
      <c r="P171" s="3">
        <v>465473.25</v>
      </c>
      <c r="Q171" s="3">
        <v>22330.212069682031</v>
      </c>
      <c r="R171" s="3">
        <v>6821.5706918504138</v>
      </c>
      <c r="S171" s="3">
        <v>17865.667040683929</v>
      </c>
      <c r="T171" s="3">
        <v>631.22627871175609</v>
      </c>
      <c r="U171">
        <v>0.17595745034935731</v>
      </c>
      <c r="V171" s="3">
        <v>-316417.31058875658</v>
      </c>
      <c r="W171">
        <v>62.456182804734183</v>
      </c>
      <c r="X171">
        <v>65.631995901514372</v>
      </c>
      <c r="Y171">
        <v>18.119071185882351</v>
      </c>
      <c r="Z171" s="5">
        <v>0.2163443621198827</v>
      </c>
      <c r="AA171">
        <v>19.207490752564929</v>
      </c>
      <c r="AB171">
        <v>348.10545725913812</v>
      </c>
      <c r="AC171">
        <v>81.903486275828982</v>
      </c>
      <c r="AD171" s="5">
        <v>0.19046926234260711</v>
      </c>
      <c r="AE171">
        <v>101.87458509193389</v>
      </c>
      <c r="AF171">
        <v>23.969413601354692</v>
      </c>
      <c r="AG171">
        <v>5.3026254567990492</v>
      </c>
      <c r="AH171" t="str">
        <f t="shared" si="5"/>
        <v>True</v>
      </c>
      <c r="AI171">
        <v>3</v>
      </c>
    </row>
    <row r="172" spans="1:35" x14ac:dyDescent="0.35">
      <c r="A172" t="s">
        <v>225</v>
      </c>
      <c r="B172" t="s">
        <v>219</v>
      </c>
      <c r="C172" t="s">
        <v>63</v>
      </c>
      <c r="D172" t="s">
        <v>39</v>
      </c>
      <c r="E172" t="s">
        <v>39</v>
      </c>
      <c r="F172" t="s">
        <v>39</v>
      </c>
      <c r="G172" t="s">
        <v>35</v>
      </c>
      <c r="H172" t="s">
        <v>35</v>
      </c>
      <c r="I172" t="s">
        <v>35</v>
      </c>
      <c r="J172" t="s">
        <v>35</v>
      </c>
      <c r="K172" t="s">
        <v>35</v>
      </c>
      <c r="L172" t="s">
        <v>35</v>
      </c>
      <c r="M172" t="s">
        <v>35</v>
      </c>
      <c r="N172" t="s">
        <v>37</v>
      </c>
      <c r="O172" t="str">
        <f t="shared" si="6"/>
        <v>False</v>
      </c>
      <c r="P172" s="3">
        <v>33329.300000000003</v>
      </c>
      <c r="Q172" s="3">
        <v>26240.87453389131</v>
      </c>
      <c r="R172" s="3">
        <v>2910.908227641125</v>
      </c>
      <c r="S172" s="3">
        <v>18498.527656143891</v>
      </c>
      <c r="T172" s="3">
        <v>-1.634336748200766</v>
      </c>
      <c r="U172">
        <v>1.0074569742046271</v>
      </c>
      <c r="V172" s="3">
        <v>24856.17781785849</v>
      </c>
      <c r="W172">
        <v>11.45622627843075</v>
      </c>
      <c r="X172">
        <v>76.127673658434588</v>
      </c>
      <c r="Y172">
        <v>7.6233934289621317</v>
      </c>
      <c r="Z172" s="5">
        <v>9.1024433408196395E-2</v>
      </c>
      <c r="AA172">
        <v>22.279096768637579</v>
      </c>
      <c r="AB172">
        <v>396.43110780460881</v>
      </c>
      <c r="AC172">
        <v>33.577835730358288</v>
      </c>
      <c r="AD172" s="5">
        <v>7.8086365958636897E-2</v>
      </c>
      <c r="AE172">
        <v>116.0172981576262</v>
      </c>
      <c r="AF172">
        <v>9.8267005356623596</v>
      </c>
      <c r="AG172">
        <v>2.2310194407264028</v>
      </c>
      <c r="AH172" t="str">
        <f t="shared" si="5"/>
        <v>False</v>
      </c>
      <c r="AI172">
        <v>0</v>
      </c>
    </row>
    <row r="173" spans="1:35" x14ac:dyDescent="0.35">
      <c r="A173" t="s">
        <v>226</v>
      </c>
      <c r="B173" t="s">
        <v>219</v>
      </c>
      <c r="C173" t="s">
        <v>63</v>
      </c>
      <c r="D173" t="s">
        <v>39</v>
      </c>
      <c r="E173" t="s">
        <v>39</v>
      </c>
      <c r="F173" t="s">
        <v>39</v>
      </c>
      <c r="G173" t="s">
        <v>35</v>
      </c>
      <c r="H173" t="s">
        <v>35</v>
      </c>
      <c r="I173" t="s">
        <v>35</v>
      </c>
      <c r="J173" t="s">
        <v>35</v>
      </c>
      <c r="K173" t="s">
        <v>35</v>
      </c>
      <c r="L173" t="s">
        <v>35</v>
      </c>
      <c r="M173" t="s">
        <v>37</v>
      </c>
      <c r="N173" t="s">
        <v>35</v>
      </c>
      <c r="O173" t="str">
        <f t="shared" si="6"/>
        <v>False</v>
      </c>
      <c r="P173" s="3">
        <v>351300</v>
      </c>
      <c r="Q173" s="3">
        <v>25307.17617413187</v>
      </c>
      <c r="R173" s="3">
        <v>3844.6065874005699</v>
      </c>
      <c r="S173" s="3">
        <v>19623.528238584509</v>
      </c>
      <c r="T173" s="3">
        <v>-1126.634919188823</v>
      </c>
      <c r="U173">
        <v>0.1100331867777235</v>
      </c>
      <c r="V173" s="3">
        <v>-296940.56663576508</v>
      </c>
      <c r="W173">
        <v>129.25079540329909</v>
      </c>
      <c r="X173">
        <v>74.132196475172293</v>
      </c>
      <c r="Y173">
        <v>9.6188706122244287</v>
      </c>
      <c r="Z173" s="5">
        <v>0.1148507230622728</v>
      </c>
      <c r="AA173">
        <v>21.695111640378201</v>
      </c>
      <c r="AB173">
        <v>391.35428501995278</v>
      </c>
      <c r="AC173">
        <v>38.654658515014262</v>
      </c>
      <c r="AD173" s="5">
        <v>8.9892685015447699E-2</v>
      </c>
      <c r="AE173">
        <v>114.5315437576684</v>
      </c>
      <c r="AF173">
        <v>11.31245493562021</v>
      </c>
      <c r="AG173">
        <v>2.8150045689857812</v>
      </c>
      <c r="AH173" t="str">
        <f t="shared" si="5"/>
        <v>False</v>
      </c>
      <c r="AI173">
        <v>0</v>
      </c>
    </row>
    <row r="174" spans="1:35" x14ac:dyDescent="0.35">
      <c r="A174" t="s">
        <v>227</v>
      </c>
      <c r="B174" t="s">
        <v>219</v>
      </c>
      <c r="C174" t="s">
        <v>63</v>
      </c>
      <c r="D174" t="s">
        <v>52</v>
      </c>
      <c r="E174" t="s">
        <v>52</v>
      </c>
      <c r="F174" t="s">
        <v>52</v>
      </c>
      <c r="G174" t="s">
        <v>35</v>
      </c>
      <c r="H174" t="s">
        <v>37</v>
      </c>
      <c r="I174" t="s">
        <v>35</v>
      </c>
      <c r="J174" t="s">
        <v>35</v>
      </c>
      <c r="K174" t="s">
        <v>37</v>
      </c>
      <c r="L174" t="s">
        <v>37</v>
      </c>
      <c r="M174" t="s">
        <v>35</v>
      </c>
      <c r="N174" t="s">
        <v>35</v>
      </c>
      <c r="O174" t="str">
        <f t="shared" si="6"/>
        <v>True</v>
      </c>
      <c r="P174" s="3">
        <v>1057470.5249999999</v>
      </c>
      <c r="Q174" s="3">
        <v>13461.23863346462</v>
      </c>
      <c r="R174" s="3">
        <v>15690.544128067821</v>
      </c>
      <c r="S174" s="3">
        <v>17049.939120530649</v>
      </c>
      <c r="T174" s="3">
        <v>1446.954198865039</v>
      </c>
      <c r="U174">
        <v>0.17812707103285291</v>
      </c>
      <c r="V174" s="3">
        <v>-714720.55846134271</v>
      </c>
      <c r="W174">
        <v>61.70506948135516</v>
      </c>
      <c r="X174">
        <v>42.076710040694877</v>
      </c>
      <c r="Y174">
        <v>41.674357046701843</v>
      </c>
      <c r="Z174" s="5">
        <v>0.49759792317885831</v>
      </c>
      <c r="AA174">
        <v>12.31393328671199</v>
      </c>
      <c r="AB174">
        <v>241.64481621314391</v>
      </c>
      <c r="AC174">
        <v>188.36412732182319</v>
      </c>
      <c r="AD174" s="5">
        <v>0.43804699914690493</v>
      </c>
      <c r="AE174">
        <v>70.718412705046504</v>
      </c>
      <c r="AF174">
        <v>55.125585988242079</v>
      </c>
      <c r="AG174">
        <v>12.196182922651991</v>
      </c>
      <c r="AH174" t="str">
        <f t="shared" si="5"/>
        <v>False</v>
      </c>
      <c r="AI174">
        <v>10</v>
      </c>
    </row>
    <row r="175" spans="1:35" x14ac:dyDescent="0.35">
      <c r="A175" t="s">
        <v>228</v>
      </c>
      <c r="B175" t="s">
        <v>219</v>
      </c>
      <c r="C175" t="s">
        <v>63</v>
      </c>
      <c r="D175" t="s">
        <v>52</v>
      </c>
      <c r="E175" t="s">
        <v>52</v>
      </c>
      <c r="F175" t="s">
        <v>52</v>
      </c>
      <c r="G175" t="s">
        <v>35</v>
      </c>
      <c r="H175" t="s">
        <v>37</v>
      </c>
      <c r="I175" t="s">
        <v>37</v>
      </c>
      <c r="J175" t="s">
        <v>35</v>
      </c>
      <c r="K175" t="s">
        <v>35</v>
      </c>
      <c r="L175" t="s">
        <v>37</v>
      </c>
      <c r="M175" t="s">
        <v>35</v>
      </c>
      <c r="N175" t="s">
        <v>35</v>
      </c>
      <c r="O175" t="str">
        <f t="shared" si="6"/>
        <v>True</v>
      </c>
      <c r="P175" s="3">
        <v>1296218.175</v>
      </c>
      <c r="Q175" s="3">
        <v>12534.973893040709</v>
      </c>
      <c r="R175" s="3">
        <v>16616.808868491731</v>
      </c>
      <c r="S175" s="3">
        <v>16960.041690521819</v>
      </c>
      <c r="T175" s="3">
        <v>1536.851628873869</v>
      </c>
      <c r="U175">
        <v>0.15391433869997809</v>
      </c>
      <c r="V175" s="3">
        <v>-933144.96505268803</v>
      </c>
      <c r="W175">
        <v>71.402578845632988</v>
      </c>
      <c r="X175">
        <v>39.614743268111823</v>
      </c>
      <c r="Y175">
        <v>44.136323819284897</v>
      </c>
      <c r="Z175" s="5">
        <v>0.52699416681135947</v>
      </c>
      <c r="AA175">
        <v>11.593427939160611</v>
      </c>
      <c r="AB175">
        <v>230.50238031894969</v>
      </c>
      <c r="AC175">
        <v>199.50656321601741</v>
      </c>
      <c r="AD175" s="5">
        <v>0.4639591018175977</v>
      </c>
      <c r="AE175">
        <v>67.457530090415474</v>
      </c>
      <c r="AF175">
        <v>58.386468602873109</v>
      </c>
      <c r="AG175">
        <v>12.91668827020337</v>
      </c>
      <c r="AH175" t="str">
        <f t="shared" si="5"/>
        <v>True</v>
      </c>
      <c r="AI175">
        <v>10</v>
      </c>
    </row>
    <row r="176" spans="1:35" x14ac:dyDescent="0.35">
      <c r="A176" t="s">
        <v>229</v>
      </c>
      <c r="B176" t="s">
        <v>219</v>
      </c>
      <c r="C176" t="s">
        <v>63</v>
      </c>
      <c r="D176" t="s">
        <v>39</v>
      </c>
      <c r="E176" t="s">
        <v>52</v>
      </c>
      <c r="F176" t="s">
        <v>39</v>
      </c>
      <c r="G176" t="s">
        <v>35</v>
      </c>
      <c r="H176" t="s">
        <v>37</v>
      </c>
      <c r="I176" t="s">
        <v>35</v>
      </c>
      <c r="J176" t="s">
        <v>35</v>
      </c>
      <c r="K176" t="s">
        <v>35</v>
      </c>
      <c r="L176" t="s">
        <v>37</v>
      </c>
      <c r="M176" t="s">
        <v>35</v>
      </c>
      <c r="N176" t="s">
        <v>37</v>
      </c>
      <c r="O176" t="str">
        <f t="shared" si="6"/>
        <v>True</v>
      </c>
      <c r="P176" s="3">
        <v>852860.86</v>
      </c>
      <c r="Q176" s="3">
        <v>16435.5125727636</v>
      </c>
      <c r="R176" s="3">
        <v>12716.27018876884</v>
      </c>
      <c r="S176" s="3">
        <v>17491.414302600271</v>
      </c>
      <c r="T176" s="3">
        <v>1005.4790167954191</v>
      </c>
      <c r="U176">
        <v>0.17800275696096141</v>
      </c>
      <c r="V176" s="3">
        <v>-578425.8758887148</v>
      </c>
      <c r="W176">
        <v>62.153946062077807</v>
      </c>
      <c r="X176">
        <v>50.043310315678823</v>
      </c>
      <c r="Y176">
        <v>33.707756771717897</v>
      </c>
      <c r="Z176" s="5">
        <v>0.40247554979261169</v>
      </c>
      <c r="AA176">
        <v>14.645393712519409</v>
      </c>
      <c r="AB176">
        <v>278.19735915087062</v>
      </c>
      <c r="AC176">
        <v>151.81158438409651</v>
      </c>
      <c r="AD176" s="5">
        <v>0.35304285333254137</v>
      </c>
      <c r="AE176">
        <v>81.415674319833371</v>
      </c>
      <c r="AF176">
        <v>44.428324373455212</v>
      </c>
      <c r="AG176">
        <v>9.8647224968445713</v>
      </c>
      <c r="AH176" t="str">
        <f t="shared" si="5"/>
        <v>False</v>
      </c>
      <c r="AI176">
        <v>10</v>
      </c>
    </row>
    <row r="177" spans="1:35" x14ac:dyDescent="0.35">
      <c r="A177" t="s">
        <v>230</v>
      </c>
      <c r="B177" t="s">
        <v>231</v>
      </c>
      <c r="C177" t="s">
        <v>232</v>
      </c>
      <c r="D177" t="s">
        <v>39</v>
      </c>
      <c r="E177" t="s">
        <v>39</v>
      </c>
      <c r="F177" t="s">
        <v>39</v>
      </c>
      <c r="G177" t="s">
        <v>35</v>
      </c>
      <c r="H177" t="s">
        <v>35</v>
      </c>
      <c r="I177" t="s">
        <v>35</v>
      </c>
      <c r="J177" t="s">
        <v>35</v>
      </c>
      <c r="K177" t="s">
        <v>35</v>
      </c>
      <c r="L177" t="s">
        <v>35</v>
      </c>
      <c r="M177" t="s">
        <v>35</v>
      </c>
      <c r="N177" t="s">
        <v>35</v>
      </c>
      <c r="O177" t="str">
        <f t="shared" si="6"/>
        <v>False</v>
      </c>
      <c r="P177" s="3">
        <v>0</v>
      </c>
      <c r="Q177" s="3">
        <v>22956.476592664701</v>
      </c>
      <c r="R177" s="3">
        <v>0</v>
      </c>
      <c r="S177" s="3">
        <v>6824.6819918623924</v>
      </c>
      <c r="T177" s="3">
        <v>0</v>
      </c>
      <c r="U177">
        <v>0</v>
      </c>
      <c r="V177" s="3">
        <v>0</v>
      </c>
      <c r="W177">
        <v>0</v>
      </c>
      <c r="X177">
        <v>62.855870103020337</v>
      </c>
      <c r="Y177">
        <v>-7.1054273576010019E-15</v>
      </c>
      <c r="Z177" s="5">
        <v>-1.1304317871911181E-16</v>
      </c>
      <c r="AA177">
        <v>19.496237625006309</v>
      </c>
      <c r="AB177">
        <v>299.42758668693813</v>
      </c>
      <c r="AC177">
        <v>5.6843418860808009E-14</v>
      </c>
      <c r="AD177" s="5">
        <v>1.8984028656063599E-16</v>
      </c>
      <c r="AE177">
        <v>92.874561627462199</v>
      </c>
      <c r="AF177">
        <v>1.7631333393550869E-14</v>
      </c>
      <c r="AG177">
        <v>0</v>
      </c>
      <c r="AH177" t="str">
        <f t="shared" si="5"/>
        <v>False</v>
      </c>
      <c r="AI177">
        <v>0</v>
      </c>
    </row>
    <row r="178" spans="1:35" x14ac:dyDescent="0.35">
      <c r="A178" t="s">
        <v>233</v>
      </c>
      <c r="B178" t="s">
        <v>231</v>
      </c>
      <c r="C178" t="s">
        <v>232</v>
      </c>
      <c r="D178" t="s">
        <v>39</v>
      </c>
      <c r="E178" t="s">
        <v>39</v>
      </c>
      <c r="F178" t="s">
        <v>39</v>
      </c>
      <c r="G178" t="s">
        <v>37</v>
      </c>
      <c r="H178" t="s">
        <v>35</v>
      </c>
      <c r="I178" t="s">
        <v>35</v>
      </c>
      <c r="J178" t="s">
        <v>35</v>
      </c>
      <c r="K178" t="s">
        <v>35</v>
      </c>
      <c r="L178" t="s">
        <v>35</v>
      </c>
      <c r="M178" t="s">
        <v>35</v>
      </c>
      <c r="N178" t="s">
        <v>35</v>
      </c>
      <c r="O178" t="str">
        <f t="shared" si="6"/>
        <v>False</v>
      </c>
      <c r="P178" s="3">
        <v>93524.160000000003</v>
      </c>
      <c r="Q178" s="3">
        <v>23071.358590911521</v>
      </c>
      <c r="R178" s="3">
        <v>-114.8819982468213</v>
      </c>
      <c r="S178" s="3">
        <v>6835.4116888802391</v>
      </c>
      <c r="T178" s="3">
        <v>-10.729697017846879</v>
      </c>
      <c r="U178">
        <v>-1.47538145960915E-2</v>
      </c>
      <c r="V178" s="3">
        <v>-96036.393905293357</v>
      </c>
      <c r="W178">
        <v>0</v>
      </c>
      <c r="X178">
        <v>63.161052873739663</v>
      </c>
      <c r="Y178">
        <v>-0.30518277071931982</v>
      </c>
      <c r="Z178" s="5">
        <v>-4.8552787546989997E-3</v>
      </c>
      <c r="AA178">
        <v>19.59089729334357</v>
      </c>
      <c r="AB178">
        <v>300.80742480383333</v>
      </c>
      <c r="AC178">
        <v>-1.379838116895201</v>
      </c>
      <c r="AD178" s="5">
        <v>-4.6082531411438003E-3</v>
      </c>
      <c r="AE178">
        <v>93.302551117814303</v>
      </c>
      <c r="AF178">
        <v>-0.42798949035210943</v>
      </c>
      <c r="AG178">
        <v>-9.4659668337257502E-2</v>
      </c>
      <c r="AH178" t="str">
        <f t="shared" si="5"/>
        <v>True</v>
      </c>
      <c r="AI178">
        <v>4</v>
      </c>
    </row>
    <row r="179" spans="1:35" x14ac:dyDescent="0.35">
      <c r="A179" t="s">
        <v>234</v>
      </c>
      <c r="B179" t="s">
        <v>231</v>
      </c>
      <c r="C179" t="s">
        <v>232</v>
      </c>
      <c r="D179" t="s">
        <v>52</v>
      </c>
      <c r="E179" t="s">
        <v>52</v>
      </c>
      <c r="F179" t="s">
        <v>52</v>
      </c>
      <c r="G179" t="s">
        <v>35</v>
      </c>
      <c r="H179" t="s">
        <v>37</v>
      </c>
      <c r="I179" t="s">
        <v>35</v>
      </c>
      <c r="J179" t="s">
        <v>37</v>
      </c>
      <c r="K179" t="s">
        <v>35</v>
      </c>
      <c r="L179" t="s">
        <v>35</v>
      </c>
      <c r="M179" t="s">
        <v>37</v>
      </c>
      <c r="N179" t="s">
        <v>37</v>
      </c>
      <c r="O179" t="str">
        <f t="shared" si="6"/>
        <v>True</v>
      </c>
      <c r="P179" s="3">
        <v>916841.42</v>
      </c>
      <c r="Q179" s="3">
        <v>11322.09234318963</v>
      </c>
      <c r="R179" s="3">
        <v>11634.38424947507</v>
      </c>
      <c r="S179" s="3">
        <v>5814.9494165569586</v>
      </c>
      <c r="T179" s="3">
        <v>1009.732575305434</v>
      </c>
      <c r="U179">
        <v>0.1519895362036518</v>
      </c>
      <c r="V179" s="3">
        <v>-663959.08350438997</v>
      </c>
      <c r="W179">
        <v>72.511305669300143</v>
      </c>
      <c r="X179">
        <v>31.980011864281099</v>
      </c>
      <c r="Y179">
        <v>30.875858238739241</v>
      </c>
      <c r="Z179" s="5">
        <v>0.491216781951056</v>
      </c>
      <c r="AA179">
        <v>9.9193585186976101</v>
      </c>
      <c r="AB179">
        <v>160.0772844888406</v>
      </c>
      <c r="AC179">
        <v>139.35030219809749</v>
      </c>
      <c r="AD179" s="5">
        <v>0.46538899017274937</v>
      </c>
      <c r="AE179">
        <v>49.651763178920788</v>
      </c>
      <c r="AF179">
        <v>43.222798448541411</v>
      </c>
      <c r="AG179">
        <v>9.5768791063087004</v>
      </c>
      <c r="AH179" t="str">
        <f t="shared" si="5"/>
        <v>True</v>
      </c>
      <c r="AI179">
        <v>5</v>
      </c>
    </row>
    <row r="180" spans="1:35" x14ac:dyDescent="0.35">
      <c r="A180" t="s">
        <v>235</v>
      </c>
      <c r="B180" t="s">
        <v>231</v>
      </c>
      <c r="C180" t="s">
        <v>232</v>
      </c>
      <c r="D180" t="s">
        <v>39</v>
      </c>
      <c r="E180" t="s">
        <v>39</v>
      </c>
      <c r="F180" t="s">
        <v>39</v>
      </c>
      <c r="G180" t="s">
        <v>35</v>
      </c>
      <c r="H180" t="s">
        <v>37</v>
      </c>
      <c r="I180" t="s">
        <v>35</v>
      </c>
      <c r="J180" t="s">
        <v>35</v>
      </c>
      <c r="K180" t="s">
        <v>35</v>
      </c>
      <c r="L180" t="s">
        <v>35</v>
      </c>
      <c r="M180" t="s">
        <v>35</v>
      </c>
      <c r="N180" t="s">
        <v>35</v>
      </c>
      <c r="O180" t="str">
        <f t="shared" si="6"/>
        <v>False</v>
      </c>
      <c r="P180" s="3">
        <v>224457.984</v>
      </c>
      <c r="Q180" s="3">
        <v>23071.358590911521</v>
      </c>
      <c r="R180" s="3">
        <v>-114.8819982468213</v>
      </c>
      <c r="S180" s="3">
        <v>6835.4116888802391</v>
      </c>
      <c r="T180" s="3">
        <v>-10.729697017846879</v>
      </c>
      <c r="U180">
        <v>-6.1474227483714E-3</v>
      </c>
      <c r="V180" s="3">
        <v>-226970.21790529339</v>
      </c>
      <c r="W180">
        <v>0</v>
      </c>
      <c r="X180">
        <v>63.161052873739663</v>
      </c>
      <c r="Y180">
        <v>-0.30518277071931982</v>
      </c>
      <c r="Z180" s="5">
        <v>-4.8552787546989997E-3</v>
      </c>
      <c r="AA180">
        <v>19.59089729334357</v>
      </c>
      <c r="AB180">
        <v>300.80742480383333</v>
      </c>
      <c r="AC180">
        <v>-1.379838116895201</v>
      </c>
      <c r="AD180" s="5">
        <v>-4.6082531411438003E-3</v>
      </c>
      <c r="AE180">
        <v>93.302551117814303</v>
      </c>
      <c r="AF180">
        <v>-0.42798949035210943</v>
      </c>
      <c r="AG180">
        <v>-9.4659668337257502E-2</v>
      </c>
      <c r="AH180" t="str">
        <f t="shared" si="5"/>
        <v>False</v>
      </c>
      <c r="AI180">
        <v>5</v>
      </c>
    </row>
    <row r="181" spans="1:35" x14ac:dyDescent="0.35">
      <c r="A181" t="s">
        <v>236</v>
      </c>
      <c r="B181" t="s">
        <v>231</v>
      </c>
      <c r="C181" t="s">
        <v>232</v>
      </c>
      <c r="D181" t="s">
        <v>39</v>
      </c>
      <c r="E181" t="s">
        <v>39</v>
      </c>
      <c r="F181" t="s">
        <v>39</v>
      </c>
      <c r="G181" t="s">
        <v>35</v>
      </c>
      <c r="H181" t="s">
        <v>35</v>
      </c>
      <c r="I181" t="s">
        <v>35</v>
      </c>
      <c r="J181" t="s">
        <v>37</v>
      </c>
      <c r="K181" t="s">
        <v>35</v>
      </c>
      <c r="L181" t="s">
        <v>35</v>
      </c>
      <c r="M181" t="s">
        <v>35</v>
      </c>
      <c r="N181" t="s">
        <v>35</v>
      </c>
      <c r="O181" t="str">
        <f t="shared" si="6"/>
        <v>False</v>
      </c>
      <c r="P181" s="3">
        <v>420858.72</v>
      </c>
      <c r="Q181" s="3">
        <v>21280.818622818289</v>
      </c>
      <c r="R181" s="3">
        <v>1675.657969846417</v>
      </c>
      <c r="S181" s="3">
        <v>6667.9389423304146</v>
      </c>
      <c r="T181" s="3">
        <v>156.7430495319775</v>
      </c>
      <c r="U181">
        <v>4.7824617068475697E-2</v>
      </c>
      <c r="V181" s="3">
        <v>-384210.6996124321</v>
      </c>
      <c r="W181">
        <v>229.6761001272352</v>
      </c>
      <c r="X181">
        <v>58.404406768575768</v>
      </c>
      <c r="Y181">
        <v>4.4514633344445684</v>
      </c>
      <c r="Z181" s="5">
        <v>7.0820168858511501E-2</v>
      </c>
      <c r="AA181">
        <v>18.11551078429769</v>
      </c>
      <c r="AB181">
        <v>279.30017956300929</v>
      </c>
      <c r="AC181">
        <v>20.12740712392883</v>
      </c>
      <c r="AD181" s="5">
        <v>6.7219615088347603E-2</v>
      </c>
      <c r="AE181">
        <v>86.631569343365172</v>
      </c>
      <c r="AF181">
        <v>6.2429922840970322</v>
      </c>
      <c r="AG181">
        <v>1.3807268407086151</v>
      </c>
      <c r="AH181" t="str">
        <f t="shared" si="5"/>
        <v>True</v>
      </c>
      <c r="AI181">
        <v>2</v>
      </c>
    </row>
    <row r="182" spans="1:35" x14ac:dyDescent="0.35">
      <c r="A182" t="s">
        <v>237</v>
      </c>
      <c r="B182" t="s">
        <v>231</v>
      </c>
      <c r="C182" t="s">
        <v>232</v>
      </c>
      <c r="D182" t="s">
        <v>52</v>
      </c>
      <c r="E182" t="s">
        <v>39</v>
      </c>
      <c r="F182" t="s">
        <v>39</v>
      </c>
      <c r="G182" t="s">
        <v>35</v>
      </c>
      <c r="H182" t="s">
        <v>35</v>
      </c>
      <c r="I182" t="s">
        <v>35</v>
      </c>
      <c r="J182" t="s">
        <v>35</v>
      </c>
      <c r="K182" t="s">
        <v>35</v>
      </c>
      <c r="L182" t="s">
        <v>35</v>
      </c>
      <c r="M182" t="s">
        <v>37</v>
      </c>
      <c r="N182" t="s">
        <v>35</v>
      </c>
      <c r="O182" t="str">
        <f t="shared" si="6"/>
        <v>False</v>
      </c>
      <c r="P182" s="3">
        <v>257550</v>
      </c>
      <c r="Q182" s="3">
        <v>13417.72213649122</v>
      </c>
      <c r="R182" s="3">
        <v>9538.7544561734794</v>
      </c>
      <c r="S182" s="3">
        <v>5936.7439828039633</v>
      </c>
      <c r="T182" s="3">
        <v>887.9380090584292</v>
      </c>
      <c r="U182">
        <v>0.44478434113220888</v>
      </c>
      <c r="V182" s="3">
        <v>-49016.150695361779</v>
      </c>
      <c r="W182">
        <v>24.701025839095909</v>
      </c>
      <c r="X182">
        <v>37.517456621430199</v>
      </c>
      <c r="Y182">
        <v>25.338413481590141</v>
      </c>
      <c r="Z182" s="5">
        <v>0.40311928607559888</v>
      </c>
      <c r="AA182">
        <v>11.636928232453529</v>
      </c>
      <c r="AB182">
        <v>184.87337962833769</v>
      </c>
      <c r="AC182">
        <v>114.5542070586004</v>
      </c>
      <c r="AD182" s="5">
        <v>0.38257733138787497</v>
      </c>
      <c r="AE182">
        <v>57.342859686208968</v>
      </c>
      <c r="AF182">
        <v>35.531701941253232</v>
      </c>
      <c r="AG182">
        <v>7.8593093925527739</v>
      </c>
      <c r="AH182" t="str">
        <f t="shared" si="5"/>
        <v>False</v>
      </c>
      <c r="AI182">
        <v>0</v>
      </c>
    </row>
    <row r="183" spans="1:35" x14ac:dyDescent="0.35">
      <c r="A183" t="s">
        <v>238</v>
      </c>
      <c r="B183" t="s">
        <v>231</v>
      </c>
      <c r="C183" t="s">
        <v>232</v>
      </c>
      <c r="D183" t="s">
        <v>39</v>
      </c>
      <c r="E183" t="s">
        <v>39</v>
      </c>
      <c r="F183" t="s">
        <v>39</v>
      </c>
      <c r="G183" t="s">
        <v>35</v>
      </c>
      <c r="H183" t="s">
        <v>35</v>
      </c>
      <c r="I183" t="s">
        <v>35</v>
      </c>
      <c r="J183" t="s">
        <v>35</v>
      </c>
      <c r="K183" t="s">
        <v>35</v>
      </c>
      <c r="L183" t="s">
        <v>35</v>
      </c>
      <c r="M183" t="s">
        <v>35</v>
      </c>
      <c r="N183" t="s">
        <v>37</v>
      </c>
      <c r="O183" t="str">
        <f t="shared" si="6"/>
        <v>False</v>
      </c>
      <c r="P183" s="3">
        <v>20481</v>
      </c>
      <c r="Q183" s="3">
        <v>21853.086445463381</v>
      </c>
      <c r="R183" s="3">
        <v>1103.3901472013249</v>
      </c>
      <c r="S183" s="3">
        <v>6827.0109479935554</v>
      </c>
      <c r="T183" s="3">
        <v>-2.3289561311634088</v>
      </c>
      <c r="U183">
        <v>0.62102157810196956</v>
      </c>
      <c r="V183" s="3">
        <v>1540.223821403237</v>
      </c>
      <c r="W183">
        <v>18.601146027219219</v>
      </c>
      <c r="X183">
        <v>59.966879412313688</v>
      </c>
      <c r="Y183">
        <v>2.8889906907066489</v>
      </c>
      <c r="Z183" s="5">
        <v>4.5962146192099602E-2</v>
      </c>
      <c r="AA183">
        <v>18.60014870108985</v>
      </c>
      <c r="AB183">
        <v>286.70844374583169</v>
      </c>
      <c r="AC183">
        <v>12.719142941106441</v>
      </c>
      <c r="AD183" s="5">
        <v>4.2478193415106801E-2</v>
      </c>
      <c r="AE183">
        <v>88.929418035307592</v>
      </c>
      <c r="AF183">
        <v>3.945143592154603</v>
      </c>
      <c r="AG183">
        <v>0.89608892391645512</v>
      </c>
      <c r="AH183" t="str">
        <f t="shared" si="5"/>
        <v>False</v>
      </c>
      <c r="AI183">
        <v>0</v>
      </c>
    </row>
    <row r="184" spans="1:35" x14ac:dyDescent="0.35">
      <c r="A184" t="s">
        <v>239</v>
      </c>
      <c r="B184" t="s">
        <v>231</v>
      </c>
      <c r="C184" t="s">
        <v>232</v>
      </c>
      <c r="D184" t="s">
        <v>39</v>
      </c>
      <c r="E184" t="s">
        <v>39</v>
      </c>
      <c r="F184" t="s">
        <v>39</v>
      </c>
      <c r="G184" t="s">
        <v>35</v>
      </c>
      <c r="H184" t="s">
        <v>37</v>
      </c>
      <c r="I184" t="s">
        <v>35</v>
      </c>
      <c r="J184" t="s">
        <v>37</v>
      </c>
      <c r="K184" t="s">
        <v>35</v>
      </c>
      <c r="L184" t="s">
        <v>35</v>
      </c>
      <c r="M184" t="s">
        <v>35</v>
      </c>
      <c r="N184" t="s">
        <v>35</v>
      </c>
      <c r="O184" t="str">
        <f t="shared" si="6"/>
        <v>True</v>
      </c>
      <c r="P184" s="3">
        <v>645316.70400000003</v>
      </c>
      <c r="Q184" s="3">
        <v>21394.535608558301</v>
      </c>
      <c r="R184" s="3">
        <v>1561.940984106398</v>
      </c>
      <c r="S184" s="3">
        <v>6678.5642718448398</v>
      </c>
      <c r="T184" s="3">
        <v>146.11772001755281</v>
      </c>
      <c r="U184">
        <v>2.9073382524889502E-2</v>
      </c>
      <c r="V184" s="3">
        <v>-611155.52991752105</v>
      </c>
      <c r="W184">
        <v>377.80709904287357</v>
      </c>
      <c r="X184">
        <v>58.706496473047793</v>
      </c>
      <c r="Y184">
        <v>4.1493736299725441</v>
      </c>
      <c r="Z184" s="5">
        <v>6.6014098972327406E-2</v>
      </c>
      <c r="AA184">
        <v>18.209211064841131</v>
      </c>
      <c r="AB184">
        <v>280.6660473018452</v>
      </c>
      <c r="AC184">
        <v>18.761539385092931</v>
      </c>
      <c r="AD184" s="5">
        <v>6.2658018897600004E-2</v>
      </c>
      <c r="AE184">
        <v>87.055225589902363</v>
      </c>
      <c r="AF184">
        <v>5.8193360375598422</v>
      </c>
      <c r="AG184">
        <v>1.2870265601651809</v>
      </c>
      <c r="AH184" t="str">
        <f t="shared" si="5"/>
        <v>True</v>
      </c>
      <c r="AI184">
        <v>5</v>
      </c>
    </row>
    <row r="185" spans="1:35" x14ac:dyDescent="0.35">
      <c r="A185" t="s">
        <v>240</v>
      </c>
      <c r="B185" t="s">
        <v>231</v>
      </c>
      <c r="C185" t="s">
        <v>232</v>
      </c>
      <c r="D185" t="s">
        <v>39</v>
      </c>
      <c r="E185" t="s">
        <v>39</v>
      </c>
      <c r="F185" t="s">
        <v>39</v>
      </c>
      <c r="G185" t="s">
        <v>35</v>
      </c>
      <c r="H185" t="s">
        <v>37</v>
      </c>
      <c r="I185" t="s">
        <v>35</v>
      </c>
      <c r="J185" t="s">
        <v>35</v>
      </c>
      <c r="K185" t="s">
        <v>35</v>
      </c>
      <c r="L185" t="s">
        <v>35</v>
      </c>
      <c r="M185" t="s">
        <v>35</v>
      </c>
      <c r="N185" t="s">
        <v>37</v>
      </c>
      <c r="O185" t="str">
        <f t="shared" si="6"/>
        <v>True</v>
      </c>
      <c r="P185" s="3">
        <v>244386.56</v>
      </c>
      <c r="Q185" s="3">
        <v>21964.67101548941</v>
      </c>
      <c r="R185" s="3">
        <v>991.80557717529837</v>
      </c>
      <c r="S185" s="3">
        <v>6837.7406620752236</v>
      </c>
      <c r="T185" s="3">
        <v>-13.05867021283207</v>
      </c>
      <c r="U185">
        <v>4.6554730846140403E-2</v>
      </c>
      <c r="V185" s="3">
        <v>-224811.62186075069</v>
      </c>
      <c r="W185">
        <v>249.69331526007261</v>
      </c>
      <c r="X185">
        <v>60.263425796572271</v>
      </c>
      <c r="Y185">
        <v>2.592444306448066</v>
      </c>
      <c r="Z185" s="5">
        <v>4.1244267276852001E-2</v>
      </c>
      <c r="AA185">
        <v>18.69212958950753</v>
      </c>
      <c r="AB185">
        <v>288.05023616372398</v>
      </c>
      <c r="AC185">
        <v>11.377350523214149</v>
      </c>
      <c r="AD185" s="5">
        <v>3.7997001709496901E-2</v>
      </c>
      <c r="AE185">
        <v>89.345606750534728</v>
      </c>
      <c r="AF185">
        <v>3.528954876927465</v>
      </c>
      <c r="AG185">
        <v>0.80410803549878196</v>
      </c>
      <c r="AH185" t="str">
        <f t="shared" si="5"/>
        <v>False</v>
      </c>
      <c r="AI185">
        <v>5</v>
      </c>
    </row>
    <row r="186" spans="1:35" x14ac:dyDescent="0.35">
      <c r="A186" t="s">
        <v>241</v>
      </c>
      <c r="B186" t="s">
        <v>231</v>
      </c>
      <c r="C186" t="s">
        <v>232</v>
      </c>
      <c r="D186" t="s">
        <v>52</v>
      </c>
      <c r="E186" t="s">
        <v>39</v>
      </c>
      <c r="F186" t="s">
        <v>39</v>
      </c>
      <c r="G186" t="s">
        <v>35</v>
      </c>
      <c r="H186" t="s">
        <v>35</v>
      </c>
      <c r="I186" t="s">
        <v>35</v>
      </c>
      <c r="J186" t="s">
        <v>35</v>
      </c>
      <c r="K186" t="s">
        <v>35</v>
      </c>
      <c r="L186" t="s">
        <v>35</v>
      </c>
      <c r="M186" t="s">
        <v>37</v>
      </c>
      <c r="N186" t="s">
        <v>37</v>
      </c>
      <c r="O186" t="str">
        <f t="shared" si="6"/>
        <v>True</v>
      </c>
      <c r="P186" s="3">
        <v>272250.12</v>
      </c>
      <c r="Q186" s="3">
        <v>12611.732190526711</v>
      </c>
      <c r="R186" s="3">
        <v>10344.744402137991</v>
      </c>
      <c r="S186" s="3">
        <v>5939.0735435988554</v>
      </c>
      <c r="T186" s="3">
        <v>885.60844826353684</v>
      </c>
      <c r="U186">
        <v>0.45488295150018049</v>
      </c>
      <c r="V186" s="3">
        <v>-47643.062991969491</v>
      </c>
      <c r="W186">
        <v>24.242347825274791</v>
      </c>
      <c r="X186">
        <v>35.40739597160551</v>
      </c>
      <c r="Y186">
        <v>27.44847413141483</v>
      </c>
      <c r="Z186" s="5">
        <v>0.43668911251132098</v>
      </c>
      <c r="AA186">
        <v>10.982442919232479</v>
      </c>
      <c r="AB186">
        <v>175.58564855505981</v>
      </c>
      <c r="AC186">
        <v>123.84193813187829</v>
      </c>
      <c r="AD186" s="5">
        <v>0.41359561923517529</v>
      </c>
      <c r="AE186">
        <v>54.462049799956517</v>
      </c>
      <c r="AF186">
        <v>38.412511827505682</v>
      </c>
      <c r="AG186">
        <v>8.5137947057738295</v>
      </c>
      <c r="AH186" t="str">
        <f t="shared" si="5"/>
        <v>False</v>
      </c>
      <c r="AI186">
        <v>0</v>
      </c>
    </row>
    <row r="187" spans="1:35" x14ac:dyDescent="0.35">
      <c r="A187" t="s">
        <v>242</v>
      </c>
      <c r="B187" t="s">
        <v>231</v>
      </c>
      <c r="C187" t="s">
        <v>232</v>
      </c>
      <c r="D187" t="s">
        <v>52</v>
      </c>
      <c r="E187" t="s">
        <v>39</v>
      </c>
      <c r="F187" t="s">
        <v>39</v>
      </c>
      <c r="G187" t="s">
        <v>35</v>
      </c>
      <c r="H187" t="s">
        <v>37</v>
      </c>
      <c r="I187" t="s">
        <v>35</v>
      </c>
      <c r="J187" t="s">
        <v>35</v>
      </c>
      <c r="K187" t="s">
        <v>35</v>
      </c>
      <c r="L187" t="s">
        <v>35</v>
      </c>
      <c r="M187" t="s">
        <v>37</v>
      </c>
      <c r="N187" t="s">
        <v>37</v>
      </c>
      <c r="O187" t="str">
        <f t="shared" si="6"/>
        <v>True</v>
      </c>
      <c r="P187" s="3">
        <v>496758.32</v>
      </c>
      <c r="Q187" s="3">
        <v>12708.248607235109</v>
      </c>
      <c r="R187" s="3">
        <v>10248.22798542959</v>
      </c>
      <c r="S187" s="3">
        <v>5948.3554555864503</v>
      </c>
      <c r="T187" s="3">
        <v>876.32653627594198</v>
      </c>
      <c r="U187">
        <v>0.24696382131701039</v>
      </c>
      <c r="V187" s="3">
        <v>-274267.22956588928</v>
      </c>
      <c r="W187">
        <v>44.654221347089127</v>
      </c>
      <c r="X187">
        <v>35.663897782123477</v>
      </c>
      <c r="Y187">
        <v>27.191972320896859</v>
      </c>
      <c r="Z187" s="5">
        <v>0.43260831926006921</v>
      </c>
      <c r="AA187">
        <v>11.06200303415741</v>
      </c>
      <c r="AB187">
        <v>176.74625370871979</v>
      </c>
      <c r="AC187">
        <v>122.68133297821829</v>
      </c>
      <c r="AD187" s="5">
        <v>0.40971953965780011</v>
      </c>
      <c r="AE187">
        <v>54.822038991538413</v>
      </c>
      <c r="AF187">
        <v>38.052522635923793</v>
      </c>
      <c r="AG187">
        <v>8.4342345908489023</v>
      </c>
      <c r="AH187" t="str">
        <f t="shared" si="5"/>
        <v>False</v>
      </c>
      <c r="AI187">
        <v>5</v>
      </c>
    </row>
    <row r="188" spans="1:35" x14ac:dyDescent="0.35">
      <c r="A188" t="s">
        <v>243</v>
      </c>
      <c r="B188" t="s">
        <v>244</v>
      </c>
      <c r="C188" t="s">
        <v>232</v>
      </c>
      <c r="D188" t="s">
        <v>34</v>
      </c>
      <c r="E188" t="s">
        <v>39</v>
      </c>
      <c r="F188" t="s">
        <v>34</v>
      </c>
      <c r="G188" t="s">
        <v>35</v>
      </c>
      <c r="H188" t="s">
        <v>35</v>
      </c>
      <c r="I188" t="s">
        <v>35</v>
      </c>
      <c r="J188" t="s">
        <v>35</v>
      </c>
      <c r="K188" t="s">
        <v>35</v>
      </c>
      <c r="L188" t="s">
        <v>35</v>
      </c>
      <c r="M188" t="s">
        <v>35</v>
      </c>
      <c r="N188" t="s">
        <v>35</v>
      </c>
      <c r="O188" t="str">
        <f t="shared" si="6"/>
        <v>False</v>
      </c>
      <c r="P188" s="3">
        <v>0</v>
      </c>
      <c r="Q188" s="3">
        <v>23804.36677290341</v>
      </c>
      <c r="R188" s="3">
        <v>0</v>
      </c>
      <c r="S188" s="3">
        <v>20817.337784404121</v>
      </c>
      <c r="T188" s="3">
        <v>0</v>
      </c>
      <c r="U188">
        <v>0</v>
      </c>
      <c r="V188" s="3">
        <v>0</v>
      </c>
      <c r="W188">
        <v>0</v>
      </c>
      <c r="X188">
        <v>70.673667056176257</v>
      </c>
      <c r="Y188">
        <v>0</v>
      </c>
      <c r="Z188" s="5">
        <v>0</v>
      </c>
      <c r="AA188">
        <v>24.62497109971298</v>
      </c>
      <c r="AB188">
        <v>380.05944874112799</v>
      </c>
      <c r="AC188">
        <v>0</v>
      </c>
      <c r="AD188" s="5">
        <v>0</v>
      </c>
      <c r="AE188">
        <v>132.4248950317519</v>
      </c>
      <c r="AF188">
        <v>0</v>
      </c>
      <c r="AG188">
        <v>-3.5527136788005009E-15</v>
      </c>
      <c r="AH188" t="str">
        <f t="shared" si="5"/>
        <v>False</v>
      </c>
      <c r="AI188">
        <v>0</v>
      </c>
    </row>
    <row r="189" spans="1:35" x14ac:dyDescent="0.35">
      <c r="A189" t="s">
        <v>245</v>
      </c>
      <c r="B189" t="s">
        <v>244</v>
      </c>
      <c r="C189" t="s">
        <v>232</v>
      </c>
      <c r="D189" t="s">
        <v>34</v>
      </c>
      <c r="E189" t="s">
        <v>39</v>
      </c>
      <c r="F189" t="s">
        <v>34</v>
      </c>
      <c r="G189" t="s">
        <v>37</v>
      </c>
      <c r="H189" t="s">
        <v>35</v>
      </c>
      <c r="I189" t="s">
        <v>35</v>
      </c>
      <c r="J189" t="s">
        <v>35</v>
      </c>
      <c r="K189" t="s">
        <v>35</v>
      </c>
      <c r="L189" t="s">
        <v>35</v>
      </c>
      <c r="M189" t="s">
        <v>35</v>
      </c>
      <c r="N189" t="s">
        <v>35</v>
      </c>
      <c r="O189" t="str">
        <f t="shared" si="6"/>
        <v>False</v>
      </c>
      <c r="P189" s="3">
        <v>204036.44</v>
      </c>
      <c r="Q189" s="3">
        <v>22638.561512277909</v>
      </c>
      <c r="R189" s="3">
        <v>1165.8052606255001</v>
      </c>
      <c r="S189" s="3">
        <v>20709.037453917841</v>
      </c>
      <c r="T189" s="3">
        <v>108.30033048627941</v>
      </c>
      <c r="U189">
        <v>6.8612439598980404E-2</v>
      </c>
      <c r="V189" s="3">
        <v>-178554.3281777644</v>
      </c>
      <c r="W189">
        <v>160.14091879304809</v>
      </c>
      <c r="X189">
        <v>67.576951352711546</v>
      </c>
      <c r="Y189">
        <v>3.0967157034647101</v>
      </c>
      <c r="Z189" s="5">
        <v>4.3817108018510298E-2</v>
      </c>
      <c r="AA189">
        <v>23.545976081084159</v>
      </c>
      <c r="AB189">
        <v>366.06001082563699</v>
      </c>
      <c r="AC189">
        <v>13.999437915491001</v>
      </c>
      <c r="AD189" s="5">
        <v>3.68348634979642E-2</v>
      </c>
      <c r="AE189">
        <v>127.5470420995251</v>
      </c>
      <c r="AF189">
        <v>4.8778529322268289</v>
      </c>
      <c r="AG189">
        <v>1.0789950186288171</v>
      </c>
      <c r="AH189" t="str">
        <f t="shared" si="5"/>
        <v>True</v>
      </c>
      <c r="AI189">
        <v>7</v>
      </c>
    </row>
    <row r="190" spans="1:35" x14ac:dyDescent="0.35">
      <c r="A190" t="s">
        <v>246</v>
      </c>
      <c r="B190" t="s">
        <v>244</v>
      </c>
      <c r="C190" t="s">
        <v>232</v>
      </c>
      <c r="D190" t="s">
        <v>39</v>
      </c>
      <c r="E190" t="s">
        <v>39</v>
      </c>
      <c r="F190" t="s">
        <v>39</v>
      </c>
      <c r="G190" t="s">
        <v>35</v>
      </c>
      <c r="H190" t="s">
        <v>35</v>
      </c>
      <c r="I190" t="s">
        <v>37</v>
      </c>
      <c r="J190" t="s">
        <v>35</v>
      </c>
      <c r="K190" t="s">
        <v>35</v>
      </c>
      <c r="L190" t="s">
        <v>35</v>
      </c>
      <c r="M190" t="s">
        <v>37</v>
      </c>
      <c r="N190" t="s">
        <v>37</v>
      </c>
      <c r="O190" t="str">
        <f t="shared" si="6"/>
        <v>True</v>
      </c>
      <c r="P190" s="3">
        <v>837193.7</v>
      </c>
      <c r="Q190" s="3">
        <v>11894.05915075045</v>
      </c>
      <c r="R190" s="3">
        <v>11910.307622152961</v>
      </c>
      <c r="S190" s="3">
        <v>19711.488908248051</v>
      </c>
      <c r="T190" s="3">
        <v>1105.848876156072</v>
      </c>
      <c r="U190">
        <v>0.17083331586136649</v>
      </c>
      <c r="V190" s="3">
        <v>-576870.57003381918</v>
      </c>
      <c r="W190">
        <v>64.319578526023562</v>
      </c>
      <c r="X190">
        <v>39.036683104782448</v>
      </c>
      <c r="Y190">
        <v>31.636983951393809</v>
      </c>
      <c r="Z190" s="5">
        <v>0.44764882408389223</v>
      </c>
      <c r="AA190">
        <v>13.601631743826641</v>
      </c>
      <c r="AB190">
        <v>237.0388729518819</v>
      </c>
      <c r="AC190">
        <v>143.0205757892461</v>
      </c>
      <c r="AD190" s="5">
        <v>0.37631106465836739</v>
      </c>
      <c r="AE190">
        <v>82.5919417950808</v>
      </c>
      <c r="AF190">
        <v>49.832953236671123</v>
      </c>
      <c r="AG190">
        <v>11.023339355886341</v>
      </c>
      <c r="AH190" t="str">
        <f t="shared" si="5"/>
        <v>True</v>
      </c>
      <c r="AI190">
        <v>3</v>
      </c>
    </row>
    <row r="191" spans="1:35" x14ac:dyDescent="0.35">
      <c r="A191" t="s">
        <v>247</v>
      </c>
      <c r="B191" t="s">
        <v>244</v>
      </c>
      <c r="C191" t="s">
        <v>232</v>
      </c>
      <c r="D191" t="s">
        <v>39</v>
      </c>
      <c r="E191" t="s">
        <v>39</v>
      </c>
      <c r="F191" t="s">
        <v>39</v>
      </c>
      <c r="G191" t="s">
        <v>35</v>
      </c>
      <c r="H191" t="s">
        <v>35</v>
      </c>
      <c r="I191" t="s">
        <v>35</v>
      </c>
      <c r="J191" t="s">
        <v>35</v>
      </c>
      <c r="K191" t="s">
        <v>35</v>
      </c>
      <c r="L191" t="s">
        <v>37</v>
      </c>
      <c r="M191" t="s">
        <v>35</v>
      </c>
      <c r="N191" t="s">
        <v>35</v>
      </c>
      <c r="O191" t="str">
        <f t="shared" si="6"/>
        <v>False</v>
      </c>
      <c r="P191" s="3">
        <v>573673.245</v>
      </c>
      <c r="Q191" s="3">
        <v>21480.400756097832</v>
      </c>
      <c r="R191" s="3">
        <v>2323.9660168055789</v>
      </c>
      <c r="S191" s="3">
        <v>20601.38041204137</v>
      </c>
      <c r="T191" s="3">
        <v>215.95737236275519</v>
      </c>
      <c r="U191">
        <v>4.86468847703381E-2</v>
      </c>
      <c r="V191" s="3">
        <v>-522874.77721663332</v>
      </c>
      <c r="W191">
        <v>225.8624206723976</v>
      </c>
      <c r="X191">
        <v>64.500514915874675</v>
      </c>
      <c r="Y191">
        <v>6.1731521403015819</v>
      </c>
      <c r="Z191" s="5">
        <v>8.7347273707967299E-2</v>
      </c>
      <c r="AA191">
        <v>22.47404700901556</v>
      </c>
      <c r="AB191">
        <v>352.15203249578701</v>
      </c>
      <c r="AC191">
        <v>27.907416245340979</v>
      </c>
      <c r="AD191" s="5">
        <v>7.3429081523374296E-2</v>
      </c>
      <c r="AE191">
        <v>122.70105661874111</v>
      </c>
      <c r="AF191">
        <v>9.7238384130107942</v>
      </c>
      <c r="AG191">
        <v>2.1509240906974161</v>
      </c>
      <c r="AH191" t="str">
        <f t="shared" si="5"/>
        <v>False</v>
      </c>
      <c r="AI191">
        <v>10</v>
      </c>
    </row>
    <row r="192" spans="1:35" x14ac:dyDescent="0.35">
      <c r="A192" t="s">
        <v>248</v>
      </c>
      <c r="B192" t="s">
        <v>244</v>
      </c>
      <c r="C192" t="s">
        <v>232</v>
      </c>
      <c r="D192" t="s">
        <v>34</v>
      </c>
      <c r="E192" t="s">
        <v>39</v>
      </c>
      <c r="F192" t="s">
        <v>34</v>
      </c>
      <c r="G192" t="s">
        <v>35</v>
      </c>
      <c r="H192" t="s">
        <v>35</v>
      </c>
      <c r="I192" t="s">
        <v>37</v>
      </c>
      <c r="J192" t="s">
        <v>35</v>
      </c>
      <c r="K192" t="s">
        <v>35</v>
      </c>
      <c r="L192" t="s">
        <v>35</v>
      </c>
      <c r="M192" t="s">
        <v>35</v>
      </c>
      <c r="N192" t="s">
        <v>35</v>
      </c>
      <c r="O192" t="str">
        <f t="shared" si="6"/>
        <v>False</v>
      </c>
      <c r="P192" s="3">
        <v>590631.80000000005</v>
      </c>
      <c r="Q192" s="3">
        <v>22043.278289725051</v>
      </c>
      <c r="R192" s="3">
        <v>1761.0884831783551</v>
      </c>
      <c r="S192" s="3">
        <v>20653.50255796612</v>
      </c>
      <c r="T192" s="3">
        <v>163.8352264380031</v>
      </c>
      <c r="U192">
        <v>3.5807444944913197E-2</v>
      </c>
      <c r="V192" s="3">
        <v>-552133.32580767293</v>
      </c>
      <c r="W192">
        <v>306.83387453194928</v>
      </c>
      <c r="X192">
        <v>65.995613227727659</v>
      </c>
      <c r="Y192">
        <v>4.6780538284485971</v>
      </c>
      <c r="Z192" s="5">
        <v>6.6192317779833906E-2</v>
      </c>
      <c r="AA192">
        <v>22.994987187361559</v>
      </c>
      <c r="AB192">
        <v>358.91043307991299</v>
      </c>
      <c r="AC192">
        <v>21.149015661215</v>
      </c>
      <c r="AD192" s="5">
        <v>5.5646598792023001E-2</v>
      </c>
      <c r="AE192">
        <v>125.0559000278442</v>
      </c>
      <c r="AF192">
        <v>7.3689950039076662</v>
      </c>
      <c r="AG192">
        <v>1.6299839123514239</v>
      </c>
      <c r="AH192" t="str">
        <f t="shared" si="5"/>
        <v>True</v>
      </c>
      <c r="AI192">
        <v>3</v>
      </c>
    </row>
    <row r="193" spans="1:35" x14ac:dyDescent="0.35">
      <c r="A193" t="s">
        <v>249</v>
      </c>
      <c r="B193" t="s">
        <v>244</v>
      </c>
      <c r="C193" t="s">
        <v>232</v>
      </c>
      <c r="D193" t="s">
        <v>39</v>
      </c>
      <c r="E193" t="s">
        <v>39</v>
      </c>
      <c r="F193" t="s">
        <v>39</v>
      </c>
      <c r="G193" t="s">
        <v>35</v>
      </c>
      <c r="H193" t="s">
        <v>35</v>
      </c>
      <c r="I193" t="s">
        <v>35</v>
      </c>
      <c r="J193" t="s">
        <v>35</v>
      </c>
      <c r="K193" t="s">
        <v>35</v>
      </c>
      <c r="L193" t="s">
        <v>35</v>
      </c>
      <c r="M193" t="s">
        <v>35</v>
      </c>
      <c r="N193" t="s">
        <v>37</v>
      </c>
      <c r="O193" t="str">
        <f t="shared" si="6"/>
        <v>False</v>
      </c>
      <c r="P193" s="3">
        <v>9376.7999999999993</v>
      </c>
      <c r="Q193" s="3">
        <v>21195.837562053079</v>
      </c>
      <c r="R193" s="3">
        <v>2608.5292108503359</v>
      </c>
      <c r="S193" s="3">
        <v>20817.337784404121</v>
      </c>
      <c r="T193" s="3">
        <v>0</v>
      </c>
      <c r="U193">
        <v>3.2097577408674578</v>
      </c>
      <c r="V193" s="3">
        <v>42793.784217006723</v>
      </c>
      <c r="W193">
        <v>3.5946693489176309</v>
      </c>
      <c r="X193">
        <v>63.841589856879772</v>
      </c>
      <c r="Y193">
        <v>6.832077199296485</v>
      </c>
      <c r="Z193" s="5">
        <v>9.6670761315751197E-2</v>
      </c>
      <c r="AA193">
        <v>22.244456396125351</v>
      </c>
      <c r="AB193">
        <v>349.96219235656201</v>
      </c>
      <c r="AC193">
        <v>30.097256384565981</v>
      </c>
      <c r="AD193" s="5">
        <v>7.9190917326900298E-2</v>
      </c>
      <c r="AE193">
        <v>121.938046117269</v>
      </c>
      <c r="AF193">
        <v>10.48684891448292</v>
      </c>
      <c r="AG193">
        <v>2.3805147035876248</v>
      </c>
      <c r="AH193" t="str">
        <f t="shared" si="5"/>
        <v>False</v>
      </c>
      <c r="AI193">
        <v>0</v>
      </c>
    </row>
    <row r="194" spans="1:35" x14ac:dyDescent="0.35">
      <c r="A194" t="s">
        <v>250</v>
      </c>
      <c r="B194" t="s">
        <v>244</v>
      </c>
      <c r="C194" t="s">
        <v>232</v>
      </c>
      <c r="D194" t="s">
        <v>39</v>
      </c>
      <c r="E194" t="s">
        <v>39</v>
      </c>
      <c r="F194" t="s">
        <v>39</v>
      </c>
      <c r="G194" t="s">
        <v>35</v>
      </c>
      <c r="H194" t="s">
        <v>35</v>
      </c>
      <c r="I194" t="s">
        <v>35</v>
      </c>
      <c r="J194" t="s">
        <v>35</v>
      </c>
      <c r="K194" t="s">
        <v>35</v>
      </c>
      <c r="L194" t="s">
        <v>35</v>
      </c>
      <c r="M194" t="s">
        <v>37</v>
      </c>
      <c r="N194" t="s">
        <v>35</v>
      </c>
      <c r="O194" t="str">
        <f t="shared" si="6"/>
        <v>False</v>
      </c>
      <c r="P194" s="3">
        <v>238050</v>
      </c>
      <c r="Q194" s="3">
        <v>13441.631222977199</v>
      </c>
      <c r="R194" s="3">
        <v>10362.735549926199</v>
      </c>
      <c r="S194" s="3">
        <v>19855.110017368239</v>
      </c>
      <c r="T194" s="3">
        <v>962.2277670358892</v>
      </c>
      <c r="U194">
        <v>0.52273667814564162</v>
      </c>
      <c r="V194" s="3">
        <v>-11550.73366075812</v>
      </c>
      <c r="W194">
        <v>21.01993563577004</v>
      </c>
      <c r="X194">
        <v>43.147424041743939</v>
      </c>
      <c r="Y194">
        <v>27.526243014432321</v>
      </c>
      <c r="Z194" s="5">
        <v>0.38948372372630069</v>
      </c>
      <c r="AA194">
        <v>15.03394565914423</v>
      </c>
      <c r="AB194">
        <v>255.62198250855801</v>
      </c>
      <c r="AC194">
        <v>124.43746623257</v>
      </c>
      <c r="AD194" s="5">
        <v>0.32741579414679622</v>
      </c>
      <c r="AE194">
        <v>89.066892860124739</v>
      </c>
      <c r="AF194">
        <v>43.358002171627177</v>
      </c>
      <c r="AG194">
        <v>9.5910254405687514</v>
      </c>
      <c r="AH194" t="str">
        <f t="shared" si="5"/>
        <v>False</v>
      </c>
      <c r="AI194">
        <v>0</v>
      </c>
    </row>
    <row r="195" spans="1:35" x14ac:dyDescent="0.35">
      <c r="A195" t="s">
        <v>251</v>
      </c>
      <c r="B195" t="s">
        <v>244</v>
      </c>
      <c r="C195" t="s">
        <v>232</v>
      </c>
      <c r="D195" t="s">
        <v>39</v>
      </c>
      <c r="E195" t="s">
        <v>39</v>
      </c>
      <c r="F195" t="s">
        <v>39</v>
      </c>
      <c r="G195" t="s">
        <v>37</v>
      </c>
      <c r="H195" t="s">
        <v>35</v>
      </c>
      <c r="I195" t="s">
        <v>37</v>
      </c>
      <c r="J195" t="s">
        <v>35</v>
      </c>
      <c r="K195" t="s">
        <v>35</v>
      </c>
      <c r="L195" t="s">
        <v>35</v>
      </c>
      <c r="M195" t="s">
        <v>35</v>
      </c>
      <c r="N195" t="s">
        <v>35</v>
      </c>
      <c r="O195" t="str">
        <f t="shared" si="6"/>
        <v>True</v>
      </c>
      <c r="P195" s="3">
        <v>794668.24</v>
      </c>
      <c r="Q195" s="3">
        <v>20894.12581962617</v>
      </c>
      <c r="R195" s="3">
        <v>2910.240953277239</v>
      </c>
      <c r="S195" s="3">
        <v>20546.706610587298</v>
      </c>
      <c r="T195" s="3">
        <v>270.63117381682719</v>
      </c>
      <c r="U195">
        <v>4.3978977005619299E-2</v>
      </c>
      <c r="V195" s="3">
        <v>-731050.79745811864</v>
      </c>
      <c r="W195">
        <v>249.8271569080587</v>
      </c>
      <c r="X195">
        <v>62.943115101315122</v>
      </c>
      <c r="Y195">
        <v>7.7305519548611414</v>
      </c>
      <c r="Z195" s="5">
        <v>0.10938376734741059</v>
      </c>
      <c r="AA195">
        <v>21.93139899000527</v>
      </c>
      <c r="AB195">
        <v>345.11075248707198</v>
      </c>
      <c r="AC195">
        <v>34.948696254056017</v>
      </c>
      <c r="AD195" s="5">
        <v>9.1955867351322704E-2</v>
      </c>
      <c r="AE195">
        <v>120.24764895019931</v>
      </c>
      <c r="AF195">
        <v>12.177246081552619</v>
      </c>
      <c r="AG195">
        <v>2.6935721097077132</v>
      </c>
      <c r="AH195" t="str">
        <f t="shared" ref="AH195:AH258" si="7">IF(OR(G195="True",I195="True",J195="True"),"True","False")</f>
        <v>True</v>
      </c>
      <c r="AI195">
        <v>7</v>
      </c>
    </row>
    <row r="196" spans="1:35" x14ac:dyDescent="0.35">
      <c r="A196" t="s">
        <v>252</v>
      </c>
      <c r="B196" t="s">
        <v>244</v>
      </c>
      <c r="C196" t="s">
        <v>232</v>
      </c>
      <c r="D196" t="s">
        <v>39</v>
      </c>
      <c r="E196" t="s">
        <v>39</v>
      </c>
      <c r="F196" t="s">
        <v>39</v>
      </c>
      <c r="G196" t="s">
        <v>35</v>
      </c>
      <c r="H196" t="s">
        <v>35</v>
      </c>
      <c r="I196" t="s">
        <v>37</v>
      </c>
      <c r="J196" t="s">
        <v>35</v>
      </c>
      <c r="K196" t="s">
        <v>35</v>
      </c>
      <c r="L196" t="s">
        <v>37</v>
      </c>
      <c r="M196" t="s">
        <v>35</v>
      </c>
      <c r="N196" t="s">
        <v>35</v>
      </c>
      <c r="O196" t="str">
        <f t="shared" si="6"/>
        <v>True</v>
      </c>
      <c r="P196" s="3">
        <v>1164305.0449999999</v>
      </c>
      <c r="Q196" s="3">
        <v>19748.33755628877</v>
      </c>
      <c r="R196" s="3">
        <v>4056.0292166146442</v>
      </c>
      <c r="S196" s="3">
        <v>20440.195553790571</v>
      </c>
      <c r="T196" s="3">
        <v>377.14223061355312</v>
      </c>
      <c r="U196">
        <v>4.18344988667003E-2</v>
      </c>
      <c r="V196" s="3">
        <v>-1075641.616055436</v>
      </c>
      <c r="W196">
        <v>262.63478840367702</v>
      </c>
      <c r="X196">
        <v>59.899542226103158</v>
      </c>
      <c r="Y196">
        <v>10.77412483007309</v>
      </c>
      <c r="Z196" s="5">
        <v>0.1524489287008283</v>
      </c>
      <c r="AA196">
        <v>20.870920636272881</v>
      </c>
      <c r="AB196">
        <v>331.35133065558199</v>
      </c>
      <c r="AC196">
        <v>48.708118085545998</v>
      </c>
      <c r="AD196" s="5">
        <v>0.1281592083735375</v>
      </c>
      <c r="AE196">
        <v>115.45342531553381</v>
      </c>
      <c r="AF196">
        <v>16.97146971621812</v>
      </c>
      <c r="AG196">
        <v>3.7540504634401022</v>
      </c>
      <c r="AH196" t="str">
        <f t="shared" si="7"/>
        <v>True</v>
      </c>
      <c r="AI196">
        <v>10</v>
      </c>
    </row>
    <row r="197" spans="1:35" x14ac:dyDescent="0.35">
      <c r="A197" t="s">
        <v>253</v>
      </c>
      <c r="B197" t="s">
        <v>244</v>
      </c>
      <c r="C197" t="s">
        <v>232</v>
      </c>
      <c r="D197" t="s">
        <v>39</v>
      </c>
      <c r="E197" t="s">
        <v>39</v>
      </c>
      <c r="F197" t="s">
        <v>39</v>
      </c>
      <c r="G197" t="s">
        <v>35</v>
      </c>
      <c r="H197" t="s">
        <v>35</v>
      </c>
      <c r="I197" t="s">
        <v>35</v>
      </c>
      <c r="J197" t="s">
        <v>35</v>
      </c>
      <c r="K197" t="s">
        <v>35</v>
      </c>
      <c r="L197" t="s">
        <v>37</v>
      </c>
      <c r="M197" t="s">
        <v>35</v>
      </c>
      <c r="N197" t="s">
        <v>37</v>
      </c>
      <c r="O197" t="str">
        <f t="shared" ref="O197:O260" si="8">IF(COUNTIF(G197:N197,"True")&gt;1, "True", "False")</f>
        <v>True</v>
      </c>
      <c r="P197" s="3">
        <v>582709.66</v>
      </c>
      <c r="Q197" s="3">
        <v>19125.740227841819</v>
      </c>
      <c r="R197" s="3">
        <v>4678.6265450615911</v>
      </c>
      <c r="S197" s="3">
        <v>20601.38041204137</v>
      </c>
      <c r="T197" s="3">
        <v>215.95737236275519</v>
      </c>
      <c r="U197">
        <v>9.4516248897016694E-2</v>
      </c>
      <c r="V197" s="3">
        <v>-484817.98165151308</v>
      </c>
      <c r="W197">
        <v>119.0519296084797</v>
      </c>
      <c r="X197">
        <v>58.333352807715968</v>
      </c>
      <c r="Y197">
        <v>12.34031424846029</v>
      </c>
      <c r="Z197" s="5">
        <v>0.17460979120626871</v>
      </c>
      <c r="AA197">
        <v>20.325210037531701</v>
      </c>
      <c r="AB197">
        <v>324.98391748187203</v>
      </c>
      <c r="AC197">
        <v>55.075531259255968</v>
      </c>
      <c r="AD197" s="5">
        <v>0.1449129378092896</v>
      </c>
      <c r="AE197">
        <v>113.23481445361401</v>
      </c>
      <c r="AF197">
        <v>19.19008057813797</v>
      </c>
      <c r="AG197">
        <v>4.2997610621812834</v>
      </c>
      <c r="AH197" t="str">
        <f t="shared" si="7"/>
        <v>False</v>
      </c>
      <c r="AI197">
        <v>10</v>
      </c>
    </row>
    <row r="198" spans="1:35" x14ac:dyDescent="0.35">
      <c r="A198" t="s">
        <v>254</v>
      </c>
      <c r="B198" t="s">
        <v>244</v>
      </c>
      <c r="C198" t="s">
        <v>232</v>
      </c>
      <c r="D198" t="s">
        <v>39</v>
      </c>
      <c r="E198" t="s">
        <v>39</v>
      </c>
      <c r="F198" t="s">
        <v>39</v>
      </c>
      <c r="G198" t="s">
        <v>35</v>
      </c>
      <c r="H198" t="s">
        <v>35</v>
      </c>
      <c r="I198" t="s">
        <v>35</v>
      </c>
      <c r="J198" t="s">
        <v>35</v>
      </c>
      <c r="K198" t="s">
        <v>35</v>
      </c>
      <c r="L198" t="s">
        <v>35</v>
      </c>
      <c r="M198" t="s">
        <v>37</v>
      </c>
      <c r="N198" t="s">
        <v>37</v>
      </c>
      <c r="O198" t="str">
        <f t="shared" si="8"/>
        <v>True</v>
      </c>
      <c r="P198" s="3">
        <v>246673.5</v>
      </c>
      <c r="Q198" s="3">
        <v>13441.631222977199</v>
      </c>
      <c r="R198" s="3">
        <v>10362.735549926199</v>
      </c>
      <c r="S198" s="3">
        <v>19855.110017368239</v>
      </c>
      <c r="T198" s="3">
        <v>962.2277670358892</v>
      </c>
      <c r="U198">
        <v>0.50446223948891955</v>
      </c>
      <c r="V198" s="3">
        <v>-20174.23366075812</v>
      </c>
      <c r="W198">
        <v>21.781395055871119</v>
      </c>
      <c r="X198">
        <v>43.147424041743939</v>
      </c>
      <c r="Y198">
        <v>27.526243014432321</v>
      </c>
      <c r="Z198" s="5">
        <v>0.38948372372630069</v>
      </c>
      <c r="AA198">
        <v>15.03394565914423</v>
      </c>
      <c r="AB198">
        <v>255.62198250855801</v>
      </c>
      <c r="AC198">
        <v>124.43746623257</v>
      </c>
      <c r="AD198" s="5">
        <v>0.32741579414679622</v>
      </c>
      <c r="AE198">
        <v>89.066892860124739</v>
      </c>
      <c r="AF198">
        <v>43.358002171627177</v>
      </c>
      <c r="AG198">
        <v>9.5910254405687514</v>
      </c>
      <c r="AH198" t="str">
        <f t="shared" si="7"/>
        <v>False</v>
      </c>
      <c r="AI198">
        <v>0</v>
      </c>
    </row>
    <row r="199" spans="1:35" x14ac:dyDescent="0.35">
      <c r="A199" t="s">
        <v>255</v>
      </c>
      <c r="B199" t="s">
        <v>256</v>
      </c>
      <c r="C199" t="s">
        <v>232</v>
      </c>
      <c r="D199" t="s">
        <v>39</v>
      </c>
      <c r="E199" t="s">
        <v>39</v>
      </c>
      <c r="F199" t="s">
        <v>39</v>
      </c>
      <c r="G199" t="s">
        <v>35</v>
      </c>
      <c r="H199" t="s">
        <v>35</v>
      </c>
      <c r="I199" t="s">
        <v>35</v>
      </c>
      <c r="J199" t="s">
        <v>35</v>
      </c>
      <c r="K199" t="s">
        <v>35</v>
      </c>
      <c r="L199" t="s">
        <v>35</v>
      </c>
      <c r="M199" t="s">
        <v>35</v>
      </c>
      <c r="N199" t="s">
        <v>35</v>
      </c>
      <c r="O199" t="str">
        <f t="shared" si="8"/>
        <v>False</v>
      </c>
      <c r="P199" s="3">
        <v>0</v>
      </c>
      <c r="Q199" s="3">
        <v>19700.662339949999</v>
      </c>
      <c r="R199" s="3">
        <v>0</v>
      </c>
      <c r="S199" s="3">
        <v>15146.43929950229</v>
      </c>
      <c r="T199" s="3">
        <v>0</v>
      </c>
      <c r="U199">
        <v>0</v>
      </c>
      <c r="V199" s="3">
        <v>0</v>
      </c>
      <c r="W199">
        <v>0</v>
      </c>
      <c r="X199">
        <v>57.657172133423281</v>
      </c>
      <c r="Y199">
        <v>0</v>
      </c>
      <c r="Z199" s="5">
        <v>0</v>
      </c>
      <c r="AA199">
        <v>18.713785178001711</v>
      </c>
      <c r="AB199">
        <v>303.9974240267091</v>
      </c>
      <c r="AC199">
        <v>0</v>
      </c>
      <c r="AD199" s="5">
        <v>0</v>
      </c>
      <c r="AE199">
        <v>98.668427142716354</v>
      </c>
      <c r="AF199">
        <v>0</v>
      </c>
      <c r="AG199">
        <v>-3.5527136788005009E-15</v>
      </c>
      <c r="AH199" t="str">
        <f t="shared" si="7"/>
        <v>False</v>
      </c>
      <c r="AI199">
        <v>0</v>
      </c>
    </row>
    <row r="200" spans="1:35" x14ac:dyDescent="0.35">
      <c r="A200" t="s">
        <v>257</v>
      </c>
      <c r="B200" t="s">
        <v>256</v>
      </c>
      <c r="C200" t="s">
        <v>232</v>
      </c>
      <c r="D200" t="s">
        <v>39</v>
      </c>
      <c r="E200" t="s">
        <v>39</v>
      </c>
      <c r="F200" t="s">
        <v>39</v>
      </c>
      <c r="G200" t="s">
        <v>35</v>
      </c>
      <c r="H200" t="s">
        <v>37</v>
      </c>
      <c r="I200" t="s">
        <v>35</v>
      </c>
      <c r="J200" t="s">
        <v>35</v>
      </c>
      <c r="K200" t="s">
        <v>35</v>
      </c>
      <c r="L200" t="s">
        <v>35</v>
      </c>
      <c r="M200" t="s">
        <v>35</v>
      </c>
      <c r="N200" t="s">
        <v>35</v>
      </c>
      <c r="O200" t="str">
        <f t="shared" si="8"/>
        <v>False</v>
      </c>
      <c r="P200" s="3">
        <v>415730.88</v>
      </c>
      <c r="Q200" s="3">
        <v>12678.71488875975</v>
      </c>
      <c r="R200" s="3">
        <v>7021.9474511902536</v>
      </c>
      <c r="S200" s="3">
        <v>14498.53460022019</v>
      </c>
      <c r="T200" s="3">
        <v>647.90469928209404</v>
      </c>
      <c r="U200">
        <v>0.20277513324145249</v>
      </c>
      <c r="V200" s="3">
        <v>-262333.83699055313</v>
      </c>
      <c r="W200">
        <v>54.203245622459256</v>
      </c>
      <c r="X200">
        <v>39.006616790918393</v>
      </c>
      <c r="Y200">
        <v>18.650555342504891</v>
      </c>
      <c r="Z200" s="5">
        <v>0.32347329312901468</v>
      </c>
      <c r="AA200">
        <v>12.660375459564561</v>
      </c>
      <c r="AB200">
        <v>219.6975394421228</v>
      </c>
      <c r="AC200">
        <v>84.299884584586323</v>
      </c>
      <c r="AD200" s="5">
        <v>0.27730460169024251</v>
      </c>
      <c r="AE200">
        <v>71.307218254502686</v>
      </c>
      <c r="AF200">
        <v>27.361208888213671</v>
      </c>
      <c r="AG200">
        <v>6.0534097184371554</v>
      </c>
      <c r="AH200" t="str">
        <f t="shared" si="7"/>
        <v>False</v>
      </c>
      <c r="AI200">
        <v>9</v>
      </c>
    </row>
    <row r="201" spans="1:35" x14ac:dyDescent="0.35">
      <c r="A201" t="s">
        <v>258</v>
      </c>
      <c r="B201" t="s">
        <v>256</v>
      </c>
      <c r="C201" t="s">
        <v>232</v>
      </c>
      <c r="D201" t="s">
        <v>52</v>
      </c>
      <c r="E201" t="s">
        <v>52</v>
      </c>
      <c r="F201" t="s">
        <v>52</v>
      </c>
      <c r="G201" t="s">
        <v>35</v>
      </c>
      <c r="H201" t="s">
        <v>37</v>
      </c>
      <c r="I201" t="s">
        <v>35</v>
      </c>
      <c r="J201" t="s">
        <v>35</v>
      </c>
      <c r="K201" t="s">
        <v>35</v>
      </c>
      <c r="L201" t="s">
        <v>37</v>
      </c>
      <c r="M201" t="s">
        <v>37</v>
      </c>
      <c r="N201" t="s">
        <v>37</v>
      </c>
      <c r="O201" t="str">
        <f t="shared" si="8"/>
        <v>True</v>
      </c>
      <c r="P201" s="3">
        <v>820749.2</v>
      </c>
      <c r="Q201" s="3">
        <v>2861.2768518603611</v>
      </c>
      <c r="R201" s="3">
        <v>16839.38548808964</v>
      </c>
      <c r="S201" s="3">
        <v>13628.753680838079</v>
      </c>
      <c r="T201" s="3">
        <v>1517.6856186642051</v>
      </c>
      <c r="U201">
        <v>0.24608932073053749</v>
      </c>
      <c r="V201" s="3">
        <v>-453607.77786492312</v>
      </c>
      <c r="W201">
        <v>44.710247905398923</v>
      </c>
      <c r="X201">
        <v>12.945557609087301</v>
      </c>
      <c r="Y201">
        <v>44.711614524335978</v>
      </c>
      <c r="Z201" s="5">
        <v>0.77547359452298059</v>
      </c>
      <c r="AA201">
        <v>4.2017389188858489</v>
      </c>
      <c r="AB201">
        <v>102.019810908577</v>
      </c>
      <c r="AC201">
        <v>201.9776131181321</v>
      </c>
      <c r="AD201" s="5">
        <v>0.66440567305723752</v>
      </c>
      <c r="AE201">
        <v>33.112564397460893</v>
      </c>
      <c r="AF201">
        <v>65.555862745255467</v>
      </c>
      <c r="AG201">
        <v>14.512046259115859</v>
      </c>
      <c r="AH201" t="str">
        <f t="shared" si="7"/>
        <v>False</v>
      </c>
      <c r="AI201">
        <v>9</v>
      </c>
    </row>
    <row r="202" spans="1:35" x14ac:dyDescent="0.35">
      <c r="A202" t="s">
        <v>259</v>
      </c>
      <c r="B202" t="s">
        <v>256</v>
      </c>
      <c r="C202" t="s">
        <v>232</v>
      </c>
      <c r="D202" t="s">
        <v>39</v>
      </c>
      <c r="E202" t="s">
        <v>39</v>
      </c>
      <c r="F202" t="s">
        <v>39</v>
      </c>
      <c r="G202" t="s">
        <v>35</v>
      </c>
      <c r="H202" t="s">
        <v>35</v>
      </c>
      <c r="I202" t="s">
        <v>35</v>
      </c>
      <c r="J202" t="s">
        <v>35</v>
      </c>
      <c r="K202" t="s">
        <v>35</v>
      </c>
      <c r="L202" t="s">
        <v>37</v>
      </c>
      <c r="M202" t="s">
        <v>35</v>
      </c>
      <c r="N202" t="s">
        <v>35</v>
      </c>
      <c r="O202" t="str">
        <f t="shared" si="8"/>
        <v>False</v>
      </c>
      <c r="P202" s="3">
        <v>263612.88</v>
      </c>
      <c r="Q202" s="3">
        <v>14100.76543300395</v>
      </c>
      <c r="R202" s="3">
        <v>5599.8969069460554</v>
      </c>
      <c r="S202" s="3">
        <v>14629.87493613982</v>
      </c>
      <c r="T202" s="3">
        <v>516.5643633624685</v>
      </c>
      <c r="U202">
        <v>0.25502253826989629</v>
      </c>
      <c r="V202" s="3">
        <v>-141283.6545938295</v>
      </c>
      <c r="W202">
        <v>43.098920822023452</v>
      </c>
      <c r="X202">
        <v>42.783688214814717</v>
      </c>
      <c r="Y202">
        <v>14.87348391860856</v>
      </c>
      <c r="Z202" s="5">
        <v>0.25796415898077929</v>
      </c>
      <c r="AA202">
        <v>13.88629932321153</v>
      </c>
      <c r="AB202">
        <v>236.7701982484715</v>
      </c>
      <c r="AC202">
        <v>67.227225778237596</v>
      </c>
      <c r="AD202" s="5">
        <v>0.22114406394552549</v>
      </c>
      <c r="AE202">
        <v>76.848490181263074</v>
      </c>
      <c r="AF202">
        <v>21.819936961453291</v>
      </c>
      <c r="AG202">
        <v>4.8274858547901829</v>
      </c>
      <c r="AH202" t="str">
        <f t="shared" si="7"/>
        <v>False</v>
      </c>
      <c r="AI202">
        <v>9</v>
      </c>
    </row>
    <row r="203" spans="1:35" x14ac:dyDescent="0.35">
      <c r="A203" t="s">
        <v>260</v>
      </c>
      <c r="B203" t="s">
        <v>256</v>
      </c>
      <c r="C203" t="s">
        <v>232</v>
      </c>
      <c r="D203" t="s">
        <v>39</v>
      </c>
      <c r="E203" t="s">
        <v>39</v>
      </c>
      <c r="F203" t="s">
        <v>39</v>
      </c>
      <c r="G203" t="s">
        <v>35</v>
      </c>
      <c r="H203" t="s">
        <v>35</v>
      </c>
      <c r="I203" t="s">
        <v>35</v>
      </c>
      <c r="J203" t="s">
        <v>35</v>
      </c>
      <c r="K203" t="s">
        <v>35</v>
      </c>
      <c r="L203" t="s">
        <v>35</v>
      </c>
      <c r="M203" t="s">
        <v>37</v>
      </c>
      <c r="N203" t="s">
        <v>35</v>
      </c>
      <c r="O203" t="str">
        <f t="shared" si="8"/>
        <v>False</v>
      </c>
      <c r="P203" s="3">
        <v>133100</v>
      </c>
      <c r="Q203" s="3">
        <v>13570.436195465571</v>
      </c>
      <c r="R203" s="3">
        <v>6130.2261444844353</v>
      </c>
      <c r="S203" s="3">
        <v>14580.333255929791</v>
      </c>
      <c r="T203" s="3">
        <v>566.10604357249372</v>
      </c>
      <c r="U203">
        <v>0.55294528846405788</v>
      </c>
      <c r="V203" s="3">
        <v>826.64376113857725</v>
      </c>
      <c r="W203">
        <v>19.876552754862889</v>
      </c>
      <c r="X203">
        <v>41.374870309071852</v>
      </c>
      <c r="Y203">
        <v>16.282301824351428</v>
      </c>
      <c r="Z203" s="5">
        <v>0.28239855029089678</v>
      </c>
      <c r="AA203">
        <v>13.42903937327876</v>
      </c>
      <c r="AB203">
        <v>230.40040613214299</v>
      </c>
      <c r="AC203">
        <v>73.597017894566108</v>
      </c>
      <c r="AD203" s="5">
        <v>0.2420975050370818</v>
      </c>
      <c r="AE203">
        <v>74.781047105531641</v>
      </c>
      <c r="AF203">
        <v>23.887380037184709</v>
      </c>
      <c r="AG203">
        <v>5.2847458047229523</v>
      </c>
      <c r="AH203" t="str">
        <f t="shared" si="7"/>
        <v>False</v>
      </c>
      <c r="AI203">
        <v>0</v>
      </c>
    </row>
    <row r="204" spans="1:35" x14ac:dyDescent="0.35">
      <c r="A204" t="s">
        <v>261</v>
      </c>
      <c r="B204" t="s">
        <v>256</v>
      </c>
      <c r="C204" t="s">
        <v>232</v>
      </c>
      <c r="D204" t="s">
        <v>39</v>
      </c>
      <c r="E204" t="s">
        <v>39</v>
      </c>
      <c r="F204" t="s">
        <v>39</v>
      </c>
      <c r="G204" t="s">
        <v>35</v>
      </c>
      <c r="H204" t="s">
        <v>35</v>
      </c>
      <c r="I204" t="s">
        <v>35</v>
      </c>
      <c r="J204" t="s">
        <v>35</v>
      </c>
      <c r="K204" t="s">
        <v>35</v>
      </c>
      <c r="L204" t="s">
        <v>35</v>
      </c>
      <c r="M204" t="s">
        <v>35</v>
      </c>
      <c r="N204" t="s">
        <v>37</v>
      </c>
      <c r="O204" t="str">
        <f t="shared" si="8"/>
        <v>False</v>
      </c>
      <c r="P204" s="3">
        <v>12166.8</v>
      </c>
      <c r="Q204" s="3">
        <v>17527.107372560371</v>
      </c>
      <c r="R204" s="3">
        <v>2173.5549673896362</v>
      </c>
      <c r="S204" s="3">
        <v>15146.43925832429</v>
      </c>
      <c r="T204" s="3">
        <v>4.1178000174113549E-5</v>
      </c>
      <c r="U204">
        <v>2.0612253051872478</v>
      </c>
      <c r="V204" s="3">
        <v>31304.300171352719</v>
      </c>
      <c r="W204">
        <v>5.5976499108793529</v>
      </c>
      <c r="X204">
        <v>51.964349022485173</v>
      </c>
      <c r="Y204">
        <v>5.6928231109381073</v>
      </c>
      <c r="Z204" s="5">
        <v>9.8735732265267204E-2</v>
      </c>
      <c r="AA204">
        <v>16.866065894996812</v>
      </c>
      <c r="AB204">
        <v>278.91890798355689</v>
      </c>
      <c r="AC204">
        <v>25.078516043152209</v>
      </c>
      <c r="AD204" s="5">
        <v>8.2495817599259696E-2</v>
      </c>
      <c r="AE204">
        <v>90.528694574344996</v>
      </c>
      <c r="AF204">
        <v>8.1397325683713753</v>
      </c>
      <c r="AG204">
        <v>1.847719283004903</v>
      </c>
      <c r="AH204" t="str">
        <f t="shared" si="7"/>
        <v>False</v>
      </c>
      <c r="AI204">
        <v>0</v>
      </c>
    </row>
    <row r="205" spans="1:35" x14ac:dyDescent="0.35">
      <c r="A205" t="s">
        <v>262</v>
      </c>
      <c r="B205" t="s">
        <v>256</v>
      </c>
      <c r="C205" t="s">
        <v>232</v>
      </c>
      <c r="D205" t="s">
        <v>52</v>
      </c>
      <c r="E205" t="s">
        <v>52</v>
      </c>
      <c r="F205" t="s">
        <v>52</v>
      </c>
      <c r="G205" t="s">
        <v>35</v>
      </c>
      <c r="H205" t="s">
        <v>37</v>
      </c>
      <c r="I205" t="s">
        <v>35</v>
      </c>
      <c r="J205" t="s">
        <v>35</v>
      </c>
      <c r="K205" t="s">
        <v>35</v>
      </c>
      <c r="L205" t="s">
        <v>37</v>
      </c>
      <c r="M205" t="s">
        <v>35</v>
      </c>
      <c r="N205" t="s">
        <v>35</v>
      </c>
      <c r="O205" t="str">
        <f t="shared" si="8"/>
        <v>True</v>
      </c>
      <c r="P205" s="3">
        <v>679343.76</v>
      </c>
      <c r="Q205" s="3">
        <v>7635.5063673314926</v>
      </c>
      <c r="R205" s="3">
        <v>12065.15597261851</v>
      </c>
      <c r="S205" s="3">
        <v>14033.97983525668</v>
      </c>
      <c r="T205" s="3">
        <v>1112.459464245602</v>
      </c>
      <c r="U205">
        <v>0.21320677198896579</v>
      </c>
      <c r="V205" s="3">
        <v>-415791.45126271778</v>
      </c>
      <c r="W205">
        <v>51.552859715388998</v>
      </c>
      <c r="X205">
        <v>25.611975981457569</v>
      </c>
      <c r="Y205">
        <v>32.045196151965712</v>
      </c>
      <c r="Z205" s="5">
        <v>0.55578855095096547</v>
      </c>
      <c r="AA205">
        <v>8.312877631112487</v>
      </c>
      <c r="AB205">
        <v>159.1567338862624</v>
      </c>
      <c r="AC205">
        <v>144.8406901404467</v>
      </c>
      <c r="AD205" s="5">
        <v>0.47645367589602028</v>
      </c>
      <c r="AE205">
        <v>51.657492335690492</v>
      </c>
      <c r="AF205">
        <v>47.010934807025869</v>
      </c>
      <c r="AG205">
        <v>10.40090754688922</v>
      </c>
      <c r="AH205" t="str">
        <f t="shared" si="7"/>
        <v>False</v>
      </c>
      <c r="AI205">
        <v>9</v>
      </c>
    </row>
    <row r="206" spans="1:35" x14ac:dyDescent="0.35">
      <c r="A206" t="s">
        <v>263</v>
      </c>
      <c r="B206" t="s">
        <v>256</v>
      </c>
      <c r="C206" t="s">
        <v>232</v>
      </c>
      <c r="D206" t="s">
        <v>39</v>
      </c>
      <c r="E206" t="s">
        <v>39</v>
      </c>
      <c r="F206" t="s">
        <v>39</v>
      </c>
      <c r="G206" t="s">
        <v>35</v>
      </c>
      <c r="H206" t="s">
        <v>37</v>
      </c>
      <c r="I206" t="s">
        <v>35</v>
      </c>
      <c r="J206" t="s">
        <v>35</v>
      </c>
      <c r="K206" t="s">
        <v>35</v>
      </c>
      <c r="L206" t="s">
        <v>35</v>
      </c>
      <c r="M206" t="s">
        <v>35</v>
      </c>
      <c r="N206" t="s">
        <v>37</v>
      </c>
      <c r="O206" t="str">
        <f t="shared" si="8"/>
        <v>True</v>
      </c>
      <c r="P206" s="3">
        <v>425967</v>
      </c>
      <c r="Q206" s="3">
        <v>11277.17322408879</v>
      </c>
      <c r="R206" s="3">
        <v>8423.4891158612136</v>
      </c>
      <c r="S206" s="3">
        <v>14498.534556503069</v>
      </c>
      <c r="T206" s="3">
        <v>647.90474299921436</v>
      </c>
      <c r="U206">
        <v>0.23586544834757581</v>
      </c>
      <c r="V206" s="3">
        <v>-244539.1228227914</v>
      </c>
      <c r="W206">
        <v>46.957171811467468</v>
      </c>
      <c r="X206">
        <v>35.335796906345948</v>
      </c>
      <c r="Y206">
        <v>22.321375227077329</v>
      </c>
      <c r="Z206" s="5">
        <v>0.38713961162409938</v>
      </c>
      <c r="AA206">
        <v>11.468937652173301</v>
      </c>
      <c r="AB206">
        <v>203.5265265904373</v>
      </c>
      <c r="AC206">
        <v>100.4708974362718</v>
      </c>
      <c r="AD206" s="5">
        <v>0.33049917366222309</v>
      </c>
      <c r="AE206">
        <v>66.058593505497342</v>
      </c>
      <c r="AF206">
        <v>32.609833637219019</v>
      </c>
      <c r="AG206">
        <v>7.2448475258284084</v>
      </c>
      <c r="AH206" t="str">
        <f t="shared" si="7"/>
        <v>False</v>
      </c>
      <c r="AI206">
        <v>9</v>
      </c>
    </row>
    <row r="207" spans="1:35" x14ac:dyDescent="0.35">
      <c r="A207" t="s">
        <v>264</v>
      </c>
      <c r="B207" t="s">
        <v>256</v>
      </c>
      <c r="C207" t="s">
        <v>232</v>
      </c>
      <c r="D207" t="s">
        <v>52</v>
      </c>
      <c r="E207" t="s">
        <v>52</v>
      </c>
      <c r="F207" t="s">
        <v>52</v>
      </c>
      <c r="G207" t="s">
        <v>35</v>
      </c>
      <c r="H207" t="s">
        <v>37</v>
      </c>
      <c r="I207" t="s">
        <v>35</v>
      </c>
      <c r="J207" t="s">
        <v>35</v>
      </c>
      <c r="K207" t="s">
        <v>35</v>
      </c>
      <c r="L207" t="s">
        <v>35</v>
      </c>
      <c r="M207" t="s">
        <v>37</v>
      </c>
      <c r="N207" t="s">
        <v>35</v>
      </c>
      <c r="O207" t="str">
        <f t="shared" si="8"/>
        <v>True</v>
      </c>
      <c r="P207" s="3">
        <v>548830.88</v>
      </c>
      <c r="Q207" s="3">
        <v>7314.3406559468649</v>
      </c>
      <c r="R207" s="3">
        <v>12386.32168400314</v>
      </c>
      <c r="S207" s="3">
        <v>14004.349828376289</v>
      </c>
      <c r="T207" s="3">
        <v>1142.0894711259909</v>
      </c>
      <c r="U207">
        <v>0.27093288040997948</v>
      </c>
      <c r="V207" s="3">
        <v>-278262.65689741739</v>
      </c>
      <c r="W207">
        <v>40.568761084106882</v>
      </c>
      <c r="X207">
        <v>24.758949218300309</v>
      </c>
      <c r="Y207">
        <v>32.898222915122972</v>
      </c>
      <c r="Z207" s="5">
        <v>0.57058335845875108</v>
      </c>
      <c r="AA207">
        <v>8.0360107816618989</v>
      </c>
      <c r="AB207">
        <v>155.30109285036531</v>
      </c>
      <c r="AC207">
        <v>148.69633117634379</v>
      </c>
      <c r="AD207" s="5">
        <v>0.48913681309115098</v>
      </c>
      <c r="AE207">
        <v>50.406067137411647</v>
      </c>
      <c r="AF207">
        <v>48.2623600053047</v>
      </c>
      <c r="AG207">
        <v>10.67777439633981</v>
      </c>
      <c r="AH207" t="str">
        <f t="shared" si="7"/>
        <v>False</v>
      </c>
      <c r="AI207">
        <v>9</v>
      </c>
    </row>
    <row r="208" spans="1:35" x14ac:dyDescent="0.35">
      <c r="A208" t="s">
        <v>265</v>
      </c>
      <c r="B208" t="s">
        <v>256</v>
      </c>
      <c r="C208" t="s">
        <v>232</v>
      </c>
      <c r="D208" t="s">
        <v>52</v>
      </c>
      <c r="E208" t="s">
        <v>52</v>
      </c>
      <c r="F208" t="s">
        <v>52</v>
      </c>
      <c r="G208" t="s">
        <v>35</v>
      </c>
      <c r="H208" t="s">
        <v>37</v>
      </c>
      <c r="I208" t="s">
        <v>35</v>
      </c>
      <c r="J208" t="s">
        <v>35</v>
      </c>
      <c r="K208" t="s">
        <v>35</v>
      </c>
      <c r="L208" t="s">
        <v>37</v>
      </c>
      <c r="M208" t="s">
        <v>35</v>
      </c>
      <c r="N208" t="s">
        <v>37</v>
      </c>
      <c r="O208" t="str">
        <f t="shared" si="8"/>
        <v>True</v>
      </c>
      <c r="P208" s="3">
        <v>688547.58</v>
      </c>
      <c r="Q208" s="3">
        <v>6789.2033462805421</v>
      </c>
      <c r="R208" s="3">
        <v>12911.458993669459</v>
      </c>
      <c r="S208" s="3">
        <v>14033.97983525668</v>
      </c>
      <c r="T208" s="3">
        <v>1112.459464245602</v>
      </c>
      <c r="U208">
        <v>0.22453836731937671</v>
      </c>
      <c r="V208" s="3">
        <v>-408069.21084169869</v>
      </c>
      <c r="W208">
        <v>49.098087818058133</v>
      </c>
      <c r="X208">
        <v>23.395398321614881</v>
      </c>
      <c r="Y208">
        <v>34.261773811808403</v>
      </c>
      <c r="Z208" s="5">
        <v>0.59423264346929694</v>
      </c>
      <c r="AA208">
        <v>7.5934431423612088</v>
      </c>
      <c r="AB208">
        <v>149.39207459180119</v>
      </c>
      <c r="AC208">
        <v>154.60534943490791</v>
      </c>
      <c r="AD208" s="5">
        <v>0.50857453785965079</v>
      </c>
      <c r="AE208">
        <v>48.488177407270761</v>
      </c>
      <c r="AF208">
        <v>50.180249735445592</v>
      </c>
      <c r="AG208">
        <v>11.120342035640499</v>
      </c>
      <c r="AH208" t="str">
        <f t="shared" si="7"/>
        <v>False</v>
      </c>
      <c r="AI208">
        <v>9</v>
      </c>
    </row>
    <row r="209" spans="1:35" x14ac:dyDescent="0.35">
      <c r="A209" t="s">
        <v>266</v>
      </c>
      <c r="B209" t="s">
        <v>256</v>
      </c>
      <c r="C209" t="s">
        <v>232</v>
      </c>
      <c r="D209" t="s">
        <v>52</v>
      </c>
      <c r="E209" t="s">
        <v>52</v>
      </c>
      <c r="F209" t="s">
        <v>52</v>
      </c>
      <c r="G209" t="s">
        <v>35</v>
      </c>
      <c r="H209" t="s">
        <v>37</v>
      </c>
      <c r="I209" t="s">
        <v>35</v>
      </c>
      <c r="J209" t="s">
        <v>35</v>
      </c>
      <c r="K209" t="s">
        <v>35</v>
      </c>
      <c r="L209" t="s">
        <v>37</v>
      </c>
      <c r="M209" t="s">
        <v>37</v>
      </c>
      <c r="N209" t="s">
        <v>35</v>
      </c>
      <c r="O209" t="str">
        <f t="shared" si="8"/>
        <v>True</v>
      </c>
      <c r="P209" s="3">
        <v>812443.76</v>
      </c>
      <c r="Q209" s="3">
        <v>3219.8214150775339</v>
      </c>
      <c r="R209" s="3">
        <v>16480.840924872471</v>
      </c>
      <c r="S209" s="3">
        <v>13628.75369201423</v>
      </c>
      <c r="T209" s="3">
        <v>1517.6856074880541</v>
      </c>
      <c r="U209">
        <v>0.2435131257827966</v>
      </c>
      <c r="V209" s="3">
        <v>-452473.22935278952</v>
      </c>
      <c r="W209">
        <v>45.139459529604473</v>
      </c>
      <c r="X209">
        <v>13.88463244741375</v>
      </c>
      <c r="Y209">
        <v>43.772539686009537</v>
      </c>
      <c r="Z209" s="5">
        <v>0.75918637814418644</v>
      </c>
      <c r="AA209">
        <v>4.5065343873462336</v>
      </c>
      <c r="AB209">
        <v>106.1567045063809</v>
      </c>
      <c r="AC209">
        <v>197.84071952032821</v>
      </c>
      <c r="AD209" s="5">
        <v>0.6507973551214894</v>
      </c>
      <c r="AE209">
        <v>34.455275724239172</v>
      </c>
      <c r="AF209">
        <v>64.213151418477182</v>
      </c>
      <c r="AG209">
        <v>14.207250790655481</v>
      </c>
      <c r="AH209" t="str">
        <f t="shared" si="7"/>
        <v>False</v>
      </c>
      <c r="AI209">
        <v>9</v>
      </c>
    </row>
    <row r="210" spans="1:35" x14ac:dyDescent="0.35">
      <c r="A210" t="s">
        <v>267</v>
      </c>
      <c r="B210" t="s">
        <v>268</v>
      </c>
      <c r="C210" t="s">
        <v>33</v>
      </c>
      <c r="D210" t="s">
        <v>39</v>
      </c>
      <c r="E210" t="s">
        <v>39</v>
      </c>
      <c r="F210" t="s">
        <v>39</v>
      </c>
      <c r="G210" t="s">
        <v>35</v>
      </c>
      <c r="H210" t="s">
        <v>35</v>
      </c>
      <c r="I210" t="s">
        <v>35</v>
      </c>
      <c r="J210" t="s">
        <v>35</v>
      </c>
      <c r="K210" t="s">
        <v>35</v>
      </c>
      <c r="L210" t="s">
        <v>35</v>
      </c>
      <c r="M210" t="s">
        <v>35</v>
      </c>
      <c r="N210" t="s">
        <v>35</v>
      </c>
      <c r="O210" t="str">
        <f t="shared" si="8"/>
        <v>False</v>
      </c>
      <c r="P210" s="3">
        <v>0</v>
      </c>
      <c r="Q210" s="3">
        <v>6027.5896702504988</v>
      </c>
      <c r="R210" s="3">
        <v>0</v>
      </c>
      <c r="S210" s="3">
        <v>4274.1289903505367</v>
      </c>
      <c r="T210" s="3">
        <v>0</v>
      </c>
      <c r="U210">
        <v>0</v>
      </c>
      <c r="V210" s="3">
        <v>0</v>
      </c>
      <c r="W210">
        <v>0</v>
      </c>
      <c r="X210">
        <v>17.213556513847809</v>
      </c>
      <c r="Y210">
        <v>3.5527136788005009E-15</v>
      </c>
      <c r="Z210" s="5">
        <v>2.0639045022116411E-16</v>
      </c>
      <c r="AA210">
        <v>21.490083038511621</v>
      </c>
      <c r="AB210">
        <v>87.603593414583699</v>
      </c>
      <c r="AC210">
        <v>0</v>
      </c>
      <c r="AD210" s="5">
        <v>0</v>
      </c>
      <c r="AE210">
        <v>109.3677820406788</v>
      </c>
      <c r="AF210">
        <v>0</v>
      </c>
      <c r="AG210">
        <v>3.5527136788005009E-15</v>
      </c>
      <c r="AH210" t="str">
        <f t="shared" si="7"/>
        <v>False</v>
      </c>
      <c r="AI210">
        <v>0</v>
      </c>
    </row>
    <row r="211" spans="1:35" x14ac:dyDescent="0.35">
      <c r="A211" t="s">
        <v>269</v>
      </c>
      <c r="B211" t="s">
        <v>268</v>
      </c>
      <c r="C211" t="s">
        <v>33</v>
      </c>
      <c r="D211" t="s">
        <v>39</v>
      </c>
      <c r="E211" t="s">
        <v>39</v>
      </c>
      <c r="F211" t="s">
        <v>39</v>
      </c>
      <c r="G211" t="s">
        <v>37</v>
      </c>
      <c r="H211" t="s">
        <v>35</v>
      </c>
      <c r="I211" t="s">
        <v>35</v>
      </c>
      <c r="J211" t="s">
        <v>35</v>
      </c>
      <c r="K211" t="s">
        <v>35</v>
      </c>
      <c r="L211" t="s">
        <v>35</v>
      </c>
      <c r="M211" t="s">
        <v>35</v>
      </c>
      <c r="N211" t="s">
        <v>35</v>
      </c>
      <c r="O211" t="str">
        <f t="shared" si="8"/>
        <v>False</v>
      </c>
      <c r="P211" s="3">
        <v>32982.300000000003</v>
      </c>
      <c r="Q211" s="3">
        <v>5104.2255740309183</v>
      </c>
      <c r="R211" s="3">
        <v>923.36409621958103</v>
      </c>
      <c r="S211" s="3">
        <v>4171.2281798426493</v>
      </c>
      <c r="T211" s="3">
        <v>102.9008105078873</v>
      </c>
      <c r="U211">
        <v>0.33619614994672009</v>
      </c>
      <c r="V211" s="3">
        <v>-12457.001865450629</v>
      </c>
      <c r="W211">
        <v>32.138193349291519</v>
      </c>
      <c r="X211">
        <v>14.76080213435819</v>
      </c>
      <c r="Y211">
        <v>2.4527543794896212</v>
      </c>
      <c r="Z211" s="5">
        <v>0.14248969279047299</v>
      </c>
      <c r="AA211">
        <v>18.427967708312341</v>
      </c>
      <c r="AB211">
        <v>76.515071138195992</v>
      </c>
      <c r="AC211">
        <v>11.08852227638771</v>
      </c>
      <c r="AD211" s="5">
        <v>0.12657611228241869</v>
      </c>
      <c r="AE211">
        <v>95.524433381018724</v>
      </c>
      <c r="AF211">
        <v>13.843348659660061</v>
      </c>
      <c r="AG211">
        <v>3.0621153301992758</v>
      </c>
      <c r="AH211" t="str">
        <f t="shared" si="7"/>
        <v>True</v>
      </c>
      <c r="AI211">
        <v>2</v>
      </c>
    </row>
    <row r="212" spans="1:35" x14ac:dyDescent="0.35">
      <c r="A212" t="s">
        <v>270</v>
      </c>
      <c r="B212" t="s">
        <v>268</v>
      </c>
      <c r="C212" t="s">
        <v>33</v>
      </c>
      <c r="D212" t="s">
        <v>52</v>
      </c>
      <c r="E212" t="s">
        <v>52</v>
      </c>
      <c r="F212" t="s">
        <v>52</v>
      </c>
      <c r="G212" t="s">
        <v>37</v>
      </c>
      <c r="H212" t="s">
        <v>35</v>
      </c>
      <c r="I212" t="s">
        <v>35</v>
      </c>
      <c r="J212" t="s">
        <v>37</v>
      </c>
      <c r="K212" t="s">
        <v>35</v>
      </c>
      <c r="L212" t="s">
        <v>37</v>
      </c>
      <c r="M212" t="s">
        <v>37</v>
      </c>
      <c r="N212" t="s">
        <v>37</v>
      </c>
      <c r="O212" t="str">
        <f t="shared" si="8"/>
        <v>True</v>
      </c>
      <c r="P212" s="3">
        <v>293752.19</v>
      </c>
      <c r="Q212" s="3">
        <v>1063.7333417838131</v>
      </c>
      <c r="R212" s="3">
        <v>4963.8563284666861</v>
      </c>
      <c r="S212" s="3">
        <v>3735.0912563993752</v>
      </c>
      <c r="T212" s="3">
        <v>539.03773395116116</v>
      </c>
      <c r="U212">
        <v>0.2027231388448828</v>
      </c>
      <c r="V212" s="3">
        <v>-183694.30875164311</v>
      </c>
      <c r="W212">
        <v>53.381400162904811</v>
      </c>
      <c r="X212">
        <v>4.0326643471804884</v>
      </c>
      <c r="Y212">
        <v>13.18089216666732</v>
      </c>
      <c r="Z212" s="5">
        <v>0.76572741699623048</v>
      </c>
      <c r="AA212">
        <v>5.0345372623976132</v>
      </c>
      <c r="AB212">
        <v>28.053227415225301</v>
      </c>
      <c r="AC212">
        <v>59.550365999358398</v>
      </c>
      <c r="AD212" s="5">
        <v>0.67977081393837924</v>
      </c>
      <c r="AE212">
        <v>35.022755824251313</v>
      </c>
      <c r="AF212">
        <v>74.34502621642747</v>
      </c>
      <c r="AG212">
        <v>16.455545776114011</v>
      </c>
      <c r="AH212" t="str">
        <f t="shared" si="7"/>
        <v>True</v>
      </c>
      <c r="AI212">
        <v>2</v>
      </c>
    </row>
    <row r="213" spans="1:35" x14ac:dyDescent="0.35">
      <c r="A213" t="s">
        <v>271</v>
      </c>
      <c r="B213" t="s">
        <v>268</v>
      </c>
      <c r="C213" t="s">
        <v>33</v>
      </c>
      <c r="D213" t="s">
        <v>39</v>
      </c>
      <c r="E213" t="s">
        <v>39</v>
      </c>
      <c r="F213" t="s">
        <v>39</v>
      </c>
      <c r="G213" t="s">
        <v>35</v>
      </c>
      <c r="H213" t="s">
        <v>37</v>
      </c>
      <c r="I213" t="s">
        <v>35</v>
      </c>
      <c r="J213" t="s">
        <v>35</v>
      </c>
      <c r="K213" t="s">
        <v>35</v>
      </c>
      <c r="L213" t="s">
        <v>35</v>
      </c>
      <c r="M213" t="s">
        <v>35</v>
      </c>
      <c r="N213" t="s">
        <v>35</v>
      </c>
      <c r="O213" t="str">
        <f t="shared" si="8"/>
        <v>False</v>
      </c>
      <c r="P213" s="3">
        <v>79157.51999999999</v>
      </c>
      <c r="Q213" s="3">
        <v>5104.2255740309183</v>
      </c>
      <c r="R213" s="3">
        <v>923.36409621958103</v>
      </c>
      <c r="S213" s="3">
        <v>4171.2281798426493</v>
      </c>
      <c r="T213" s="3">
        <v>102.9008105078873</v>
      </c>
      <c r="U213">
        <v>0.1400817291444667</v>
      </c>
      <c r="V213" s="3">
        <v>-58632.221865450621</v>
      </c>
      <c r="W213">
        <v>77.131664038299633</v>
      </c>
      <c r="X213">
        <v>14.76080213435819</v>
      </c>
      <c r="Y213">
        <v>2.4527543794896212</v>
      </c>
      <c r="Z213" s="5">
        <v>0.14248969279047299</v>
      </c>
      <c r="AA213">
        <v>18.427967708312341</v>
      </c>
      <c r="AB213">
        <v>76.515071138195992</v>
      </c>
      <c r="AC213">
        <v>11.08852227638771</v>
      </c>
      <c r="AD213" s="5">
        <v>0.12657611228241869</v>
      </c>
      <c r="AE213">
        <v>95.524433381018724</v>
      </c>
      <c r="AF213">
        <v>13.843348659660061</v>
      </c>
      <c r="AG213">
        <v>3.0621153301992758</v>
      </c>
      <c r="AH213" t="str">
        <f t="shared" si="7"/>
        <v>False</v>
      </c>
      <c r="AI213">
        <v>2</v>
      </c>
    </row>
    <row r="214" spans="1:35" x14ac:dyDescent="0.35">
      <c r="A214" t="s">
        <v>272</v>
      </c>
      <c r="B214" t="s">
        <v>268</v>
      </c>
      <c r="C214" t="s">
        <v>33</v>
      </c>
      <c r="D214" t="s">
        <v>39</v>
      </c>
      <c r="E214" t="s">
        <v>39</v>
      </c>
      <c r="F214" t="s">
        <v>39</v>
      </c>
      <c r="G214" t="s">
        <v>35</v>
      </c>
      <c r="H214" t="s">
        <v>35</v>
      </c>
      <c r="I214" t="s">
        <v>35</v>
      </c>
      <c r="J214" t="s">
        <v>35</v>
      </c>
      <c r="K214" t="s">
        <v>35</v>
      </c>
      <c r="L214" t="s">
        <v>37</v>
      </c>
      <c r="M214" t="s">
        <v>35</v>
      </c>
      <c r="N214" t="s">
        <v>35</v>
      </c>
      <c r="O214" t="str">
        <f t="shared" si="8"/>
        <v>False</v>
      </c>
      <c r="P214" s="3">
        <v>85271.999999999985</v>
      </c>
      <c r="Q214" s="3">
        <v>3755.5869046495241</v>
      </c>
      <c r="R214" s="3">
        <v>2272.0027656009752</v>
      </c>
      <c r="S214" s="3">
        <v>4021.184450930516</v>
      </c>
      <c r="T214" s="3">
        <v>252.94453942002079</v>
      </c>
      <c r="U214">
        <v>0.31995306211372432</v>
      </c>
      <c r="V214" s="3">
        <v>-34773.053899580067</v>
      </c>
      <c r="W214">
        <v>33.771793902562628</v>
      </c>
      <c r="X214">
        <v>11.178464124960909</v>
      </c>
      <c r="Y214">
        <v>6.0350923888868948</v>
      </c>
      <c r="Z214" s="5">
        <v>0.35060113138338589</v>
      </c>
      <c r="AA214">
        <v>13.95563561168653</v>
      </c>
      <c r="AB214">
        <v>60.320555902022207</v>
      </c>
      <c r="AC214">
        <v>27.283037512561489</v>
      </c>
      <c r="AD214" s="5">
        <v>0.31143742452943241</v>
      </c>
      <c r="AE214">
        <v>75.306561675433471</v>
      </c>
      <c r="AF214">
        <v>34.061220365245298</v>
      </c>
      <c r="AG214">
        <v>7.5344474268250874</v>
      </c>
      <c r="AH214" t="str">
        <f t="shared" si="7"/>
        <v>False</v>
      </c>
      <c r="AI214">
        <v>2</v>
      </c>
    </row>
    <row r="215" spans="1:35" x14ac:dyDescent="0.35">
      <c r="A215" t="s">
        <v>273</v>
      </c>
      <c r="B215" t="s">
        <v>268</v>
      </c>
      <c r="C215" t="s">
        <v>33</v>
      </c>
      <c r="D215" t="s">
        <v>39</v>
      </c>
      <c r="E215" t="s">
        <v>39</v>
      </c>
      <c r="F215" t="s">
        <v>39</v>
      </c>
      <c r="G215" t="s">
        <v>35</v>
      </c>
      <c r="H215" t="s">
        <v>35</v>
      </c>
      <c r="I215" t="s">
        <v>35</v>
      </c>
      <c r="J215" t="s">
        <v>37</v>
      </c>
      <c r="K215" t="s">
        <v>35</v>
      </c>
      <c r="L215" t="s">
        <v>35</v>
      </c>
      <c r="M215" t="s">
        <v>35</v>
      </c>
      <c r="N215" t="s">
        <v>35</v>
      </c>
      <c r="O215" t="str">
        <f t="shared" si="8"/>
        <v>False</v>
      </c>
      <c r="P215" s="3">
        <v>148420.35</v>
      </c>
      <c r="Q215" s="3">
        <v>5236.3847853963971</v>
      </c>
      <c r="R215" s="3">
        <v>791.20488485410181</v>
      </c>
      <c r="S215" s="3">
        <v>4185.9353474136533</v>
      </c>
      <c r="T215" s="3">
        <v>88.193642936883478</v>
      </c>
      <c r="U215">
        <v>6.4017722213329797E-2</v>
      </c>
      <c r="V215" s="3">
        <v>-130832.3794441803</v>
      </c>
      <c r="W215">
        <v>168.77484474851931</v>
      </c>
      <c r="X215">
        <v>15.1118528966553</v>
      </c>
      <c r="Y215">
        <v>2.101703617192511</v>
      </c>
      <c r="Z215" s="5">
        <v>0.1220958385619933</v>
      </c>
      <c r="AA215">
        <v>18.86623332915768</v>
      </c>
      <c r="AB215">
        <v>78.102060677478505</v>
      </c>
      <c r="AC215">
        <v>9.5015327371051939</v>
      </c>
      <c r="AD215" s="5">
        <v>0.1084605364547002</v>
      </c>
      <c r="AE215">
        <v>97.505693729686044</v>
      </c>
      <c r="AF215">
        <v>11.86208831099275</v>
      </c>
      <c r="AG215">
        <v>2.6238497093539439</v>
      </c>
      <c r="AH215" t="str">
        <f t="shared" si="7"/>
        <v>True</v>
      </c>
      <c r="AI215">
        <v>1</v>
      </c>
    </row>
    <row r="216" spans="1:35" x14ac:dyDescent="0.35">
      <c r="A216" t="s">
        <v>274</v>
      </c>
      <c r="B216" t="s">
        <v>268</v>
      </c>
      <c r="C216" t="s">
        <v>33</v>
      </c>
      <c r="D216" t="s">
        <v>39</v>
      </c>
      <c r="E216" t="s">
        <v>39</v>
      </c>
      <c r="F216" t="s">
        <v>39</v>
      </c>
      <c r="G216" t="s">
        <v>35</v>
      </c>
      <c r="H216" t="s">
        <v>35</v>
      </c>
      <c r="I216" t="s">
        <v>35</v>
      </c>
      <c r="J216" t="s">
        <v>35</v>
      </c>
      <c r="K216" t="s">
        <v>35</v>
      </c>
      <c r="L216" t="s">
        <v>35</v>
      </c>
      <c r="M216" t="s">
        <v>35</v>
      </c>
      <c r="N216" t="s">
        <v>37</v>
      </c>
      <c r="O216" t="str">
        <f t="shared" si="8"/>
        <v>False</v>
      </c>
      <c r="P216" s="3">
        <v>11218.2</v>
      </c>
      <c r="Q216" s="3">
        <v>5369.9217786684467</v>
      </c>
      <c r="R216" s="3">
        <v>657.66789158205222</v>
      </c>
      <c r="S216" s="3">
        <v>4274.1289897500519</v>
      </c>
      <c r="T216" s="3">
        <v>6.0048434065151917E-7</v>
      </c>
      <c r="U216">
        <v>0.67641723461996506</v>
      </c>
      <c r="V216" s="3">
        <v>1935.15784365073</v>
      </c>
      <c r="W216">
        <v>17.057545507917808</v>
      </c>
      <c r="X216">
        <v>15.49103878676236</v>
      </c>
      <c r="Y216">
        <v>1.722517727085451</v>
      </c>
      <c r="Z216" s="5">
        <v>0.1000675093319463</v>
      </c>
      <c r="AA216">
        <v>19.339623953511062</v>
      </c>
      <c r="AB216">
        <v>80.015409593170006</v>
      </c>
      <c r="AC216">
        <v>7.5881838214136934</v>
      </c>
      <c r="AD216" s="5">
        <v>8.6619549788358993E-2</v>
      </c>
      <c r="AE216">
        <v>99.894393998963807</v>
      </c>
      <c r="AF216">
        <v>9.4733880417149727</v>
      </c>
      <c r="AG216">
        <v>2.1504590850005632</v>
      </c>
      <c r="AH216" t="str">
        <f t="shared" si="7"/>
        <v>False</v>
      </c>
      <c r="AI216">
        <v>0</v>
      </c>
    </row>
    <row r="217" spans="1:35" x14ac:dyDescent="0.35">
      <c r="A217" t="s">
        <v>275</v>
      </c>
      <c r="B217" t="s">
        <v>268</v>
      </c>
      <c r="C217" t="s">
        <v>33</v>
      </c>
      <c r="D217" t="s">
        <v>39</v>
      </c>
      <c r="E217" t="s">
        <v>39</v>
      </c>
      <c r="F217" t="s">
        <v>39</v>
      </c>
      <c r="G217" t="s">
        <v>35</v>
      </c>
      <c r="H217" t="s">
        <v>35</v>
      </c>
      <c r="I217" t="s">
        <v>35</v>
      </c>
      <c r="J217" t="s">
        <v>35</v>
      </c>
      <c r="K217" t="s">
        <v>35</v>
      </c>
      <c r="L217" t="s">
        <v>35</v>
      </c>
      <c r="M217" t="s">
        <v>37</v>
      </c>
      <c r="N217" t="s">
        <v>35</v>
      </c>
      <c r="O217" t="str">
        <f t="shared" si="8"/>
        <v>False</v>
      </c>
      <c r="P217" s="3">
        <v>18800</v>
      </c>
      <c r="Q217" s="3">
        <v>4664.4390558686173</v>
      </c>
      <c r="R217" s="3">
        <v>1363.150614381881</v>
      </c>
      <c r="S217" s="3">
        <v>4121.5429330418838</v>
      </c>
      <c r="T217" s="3">
        <v>152.58605730865321</v>
      </c>
      <c r="U217">
        <v>0.87088803379412227</v>
      </c>
      <c r="V217" s="3">
        <v>11514.73343381069</v>
      </c>
      <c r="W217">
        <v>12.40320983923411</v>
      </c>
      <c r="X217">
        <v>13.592361316585009</v>
      </c>
      <c r="Y217">
        <v>3.621195197262804</v>
      </c>
      <c r="Z217" s="5">
        <v>0.2103687982404831</v>
      </c>
      <c r="AA217">
        <v>16.969240095611742</v>
      </c>
      <c r="AB217">
        <v>71.230898379254199</v>
      </c>
      <c r="AC217">
        <v>16.3726950353295</v>
      </c>
      <c r="AD217" s="5">
        <v>0.18689524478574501</v>
      </c>
      <c r="AE217">
        <v>88.927463644512102</v>
      </c>
      <c r="AF217">
        <v>20.440318396166671</v>
      </c>
      <c r="AG217">
        <v>4.5208429428998791</v>
      </c>
      <c r="AH217" t="str">
        <f t="shared" si="7"/>
        <v>False</v>
      </c>
      <c r="AI217">
        <v>0</v>
      </c>
    </row>
    <row r="218" spans="1:35" x14ac:dyDescent="0.35">
      <c r="A218" t="s">
        <v>276</v>
      </c>
      <c r="B218" t="s">
        <v>268</v>
      </c>
      <c r="C218" t="s">
        <v>33</v>
      </c>
      <c r="D218" t="s">
        <v>52</v>
      </c>
      <c r="E218" t="s">
        <v>39</v>
      </c>
      <c r="F218" t="s">
        <v>39</v>
      </c>
      <c r="G218" t="s">
        <v>35</v>
      </c>
      <c r="H218" t="s">
        <v>37</v>
      </c>
      <c r="I218" t="s">
        <v>35</v>
      </c>
      <c r="J218" t="s">
        <v>35</v>
      </c>
      <c r="K218" t="s">
        <v>35</v>
      </c>
      <c r="L218" t="s">
        <v>37</v>
      </c>
      <c r="M218" t="s">
        <v>35</v>
      </c>
      <c r="N218" t="s">
        <v>35</v>
      </c>
      <c r="O218" t="str">
        <f t="shared" si="8"/>
        <v>True</v>
      </c>
      <c r="P218" s="3">
        <v>164429.51999999999</v>
      </c>
      <c r="Q218" s="3">
        <v>2940.633493240407</v>
      </c>
      <c r="R218" s="3">
        <v>3086.9561770100931</v>
      </c>
      <c r="S218" s="3">
        <v>3930.466412386319</v>
      </c>
      <c r="T218" s="3">
        <v>343.66257796421752</v>
      </c>
      <c r="U218">
        <v>0.2254415516705339</v>
      </c>
      <c r="V218" s="3">
        <v>-95817.144900513784</v>
      </c>
      <c r="W218">
        <v>47.929989236367753</v>
      </c>
      <c r="X218">
        <v>9.013717496919476</v>
      </c>
      <c r="Y218">
        <v>8.1998390169283333</v>
      </c>
      <c r="Z218" s="5">
        <v>0.47635937467842859</v>
      </c>
      <c r="AA218">
        <v>11.25308052049872</v>
      </c>
      <c r="AB218">
        <v>50.534347285342612</v>
      </c>
      <c r="AC218">
        <v>37.069246129241087</v>
      </c>
      <c r="AD218" s="5">
        <v>0.42314755233624962</v>
      </c>
      <c r="AE218">
        <v>63.089072765721113</v>
      </c>
      <c r="AF218">
        <v>46.278709274957663</v>
      </c>
      <c r="AG218">
        <v>10.237002518012901</v>
      </c>
      <c r="AH218" t="str">
        <f t="shared" si="7"/>
        <v>False</v>
      </c>
      <c r="AI218">
        <v>2</v>
      </c>
    </row>
    <row r="219" spans="1:35" x14ac:dyDescent="0.35">
      <c r="A219" t="s">
        <v>277</v>
      </c>
      <c r="B219" t="s">
        <v>268</v>
      </c>
      <c r="C219" t="s">
        <v>33</v>
      </c>
      <c r="D219" t="s">
        <v>52</v>
      </c>
      <c r="E219" t="s">
        <v>39</v>
      </c>
      <c r="F219" t="s">
        <v>39</v>
      </c>
      <c r="G219" t="s">
        <v>35</v>
      </c>
      <c r="H219" t="s">
        <v>37</v>
      </c>
      <c r="I219" t="s">
        <v>35</v>
      </c>
      <c r="J219" t="s">
        <v>37</v>
      </c>
      <c r="K219" t="s">
        <v>35</v>
      </c>
      <c r="L219" t="s">
        <v>37</v>
      </c>
      <c r="M219" t="s">
        <v>35</v>
      </c>
      <c r="N219" t="s">
        <v>35</v>
      </c>
      <c r="O219" t="str">
        <f t="shared" si="8"/>
        <v>True</v>
      </c>
      <c r="P219" s="3">
        <v>312849.86999999988</v>
      </c>
      <c r="Q219" s="3">
        <v>2940.633493240407</v>
      </c>
      <c r="R219" s="3">
        <v>3086.9561770100931</v>
      </c>
      <c r="S219" s="3">
        <v>3930.466412386319</v>
      </c>
      <c r="T219" s="3">
        <v>343.66257796421752</v>
      </c>
      <c r="U219">
        <v>0.11848892930414549</v>
      </c>
      <c r="V219" s="3">
        <v>-244237.4949005137</v>
      </c>
      <c r="W219">
        <v>91.193423794578024</v>
      </c>
      <c r="X219">
        <v>9.013717496919476</v>
      </c>
      <c r="Y219">
        <v>8.1998390169283333</v>
      </c>
      <c r="Z219" s="5">
        <v>0.47635937467842859</v>
      </c>
      <c r="AA219">
        <v>11.25308052049872</v>
      </c>
      <c r="AB219">
        <v>50.534347285342612</v>
      </c>
      <c r="AC219">
        <v>37.069246129241087</v>
      </c>
      <c r="AD219" s="5">
        <v>0.42314755233624962</v>
      </c>
      <c r="AE219">
        <v>63.089072765721113</v>
      </c>
      <c r="AF219">
        <v>46.278709274957663</v>
      </c>
      <c r="AG219">
        <v>10.237002518012901</v>
      </c>
      <c r="AH219" t="str">
        <f t="shared" si="7"/>
        <v>True</v>
      </c>
      <c r="AI219">
        <v>2</v>
      </c>
    </row>
    <row r="220" spans="1:35" x14ac:dyDescent="0.35">
      <c r="A220" t="s">
        <v>278</v>
      </c>
      <c r="B220" t="s">
        <v>268</v>
      </c>
      <c r="C220" t="s">
        <v>33</v>
      </c>
      <c r="D220" t="s">
        <v>52</v>
      </c>
      <c r="E220" t="s">
        <v>52</v>
      </c>
      <c r="F220" t="s">
        <v>52</v>
      </c>
      <c r="G220" t="s">
        <v>37</v>
      </c>
      <c r="H220" t="s">
        <v>35</v>
      </c>
      <c r="I220" t="s">
        <v>35</v>
      </c>
      <c r="J220" t="s">
        <v>35</v>
      </c>
      <c r="K220" t="s">
        <v>35</v>
      </c>
      <c r="L220" t="s">
        <v>37</v>
      </c>
      <c r="M220" t="s">
        <v>35</v>
      </c>
      <c r="N220" t="s">
        <v>37</v>
      </c>
      <c r="O220" t="str">
        <f t="shared" si="8"/>
        <v>True</v>
      </c>
      <c r="P220" s="3">
        <v>127452.54</v>
      </c>
      <c r="Q220" s="3">
        <v>2620.3497443313281</v>
      </c>
      <c r="R220" s="3">
        <v>3407.239925919172</v>
      </c>
      <c r="S220" s="3">
        <v>3930.466417124579</v>
      </c>
      <c r="T220" s="3">
        <v>343.66257322595692</v>
      </c>
      <c r="U220">
        <v>0.31984208157101462</v>
      </c>
      <c r="V220" s="3">
        <v>-52434.490017097429</v>
      </c>
      <c r="W220">
        <v>33.979166355043297</v>
      </c>
      <c r="X220">
        <v>8.1748527125038883</v>
      </c>
      <c r="Y220">
        <v>9.0387038013439192</v>
      </c>
      <c r="Z220" s="5">
        <v>0.52509217337350045</v>
      </c>
      <c r="AA220">
        <v>10.20580862984256</v>
      </c>
      <c r="AB220">
        <v>46.838907719470697</v>
      </c>
      <c r="AC220">
        <v>40.764685695113002</v>
      </c>
      <c r="AD220" s="5">
        <v>0.46533120510472981</v>
      </c>
      <c r="AE220">
        <v>58.4755402240583</v>
      </c>
      <c r="AF220">
        <v>50.892241816620484</v>
      </c>
      <c r="AG220">
        <v>11.284274408669059</v>
      </c>
      <c r="AH220" t="str">
        <f t="shared" si="7"/>
        <v>True</v>
      </c>
      <c r="AI220">
        <v>2</v>
      </c>
    </row>
    <row r="221" spans="1:35" x14ac:dyDescent="0.35">
      <c r="A221" t="s">
        <v>279</v>
      </c>
      <c r="B221" t="s">
        <v>280</v>
      </c>
      <c r="C221" t="s">
        <v>33</v>
      </c>
      <c r="D221" t="s">
        <v>281</v>
      </c>
      <c r="E221" t="s">
        <v>281</v>
      </c>
      <c r="F221" t="s">
        <v>281</v>
      </c>
      <c r="G221" t="s">
        <v>35</v>
      </c>
      <c r="H221" t="s">
        <v>35</v>
      </c>
      <c r="I221" t="s">
        <v>35</v>
      </c>
      <c r="J221" t="s">
        <v>35</v>
      </c>
      <c r="K221" t="s">
        <v>35</v>
      </c>
      <c r="L221" t="s">
        <v>35</v>
      </c>
      <c r="M221" t="s">
        <v>35</v>
      </c>
      <c r="N221" t="s">
        <v>35</v>
      </c>
      <c r="O221" t="str">
        <f t="shared" si="8"/>
        <v>False</v>
      </c>
      <c r="P221" s="3">
        <v>0</v>
      </c>
      <c r="Q221" s="3">
        <v>5140.2792986520908</v>
      </c>
      <c r="R221" s="3">
        <v>0</v>
      </c>
      <c r="S221" s="3">
        <v>2555.5593588230809</v>
      </c>
      <c r="T221" s="3">
        <v>0</v>
      </c>
      <c r="U221">
        <v>0</v>
      </c>
      <c r="V221" s="3">
        <v>0</v>
      </c>
      <c r="W221">
        <v>0</v>
      </c>
      <c r="X221">
        <v>14.31599267282993</v>
      </c>
      <c r="Y221">
        <v>-3.5527136788005009E-15</v>
      </c>
      <c r="Z221" s="5">
        <v>-2.4816397716821511E-16</v>
      </c>
      <c r="AA221">
        <v>76.556110549892693</v>
      </c>
      <c r="AB221">
        <v>70.105251368666103</v>
      </c>
      <c r="AC221">
        <v>0</v>
      </c>
      <c r="AD221" s="5">
        <v>0</v>
      </c>
      <c r="AE221">
        <v>374.894392345808</v>
      </c>
      <c r="AF221">
        <v>0</v>
      </c>
      <c r="AG221">
        <v>0</v>
      </c>
      <c r="AH221" t="str">
        <f t="shared" si="7"/>
        <v>False</v>
      </c>
      <c r="AI221">
        <v>0</v>
      </c>
    </row>
    <row r="222" spans="1:35" x14ac:dyDescent="0.35">
      <c r="A222" t="s">
        <v>282</v>
      </c>
      <c r="B222" t="s">
        <v>280</v>
      </c>
      <c r="C222" t="s">
        <v>33</v>
      </c>
      <c r="D222" t="s">
        <v>283</v>
      </c>
      <c r="E222" t="s">
        <v>283</v>
      </c>
      <c r="F222" t="s">
        <v>283</v>
      </c>
      <c r="G222" t="s">
        <v>37</v>
      </c>
      <c r="H222" t="s">
        <v>35</v>
      </c>
      <c r="I222" t="s">
        <v>35</v>
      </c>
      <c r="J222" t="s">
        <v>35</v>
      </c>
      <c r="K222" t="s">
        <v>35</v>
      </c>
      <c r="L222" t="s">
        <v>35</v>
      </c>
      <c r="M222" t="s">
        <v>35</v>
      </c>
      <c r="N222" t="s">
        <v>35</v>
      </c>
      <c r="O222" t="str">
        <f t="shared" si="8"/>
        <v>False</v>
      </c>
      <c r="P222" s="3">
        <v>27306.720000000001</v>
      </c>
      <c r="Q222" s="3">
        <v>3362.0900627666042</v>
      </c>
      <c r="R222" s="3">
        <v>1778.1892358854859</v>
      </c>
      <c r="S222" s="3">
        <v>2358.246850542012</v>
      </c>
      <c r="T222" s="3">
        <v>197.31250828106931</v>
      </c>
      <c r="U222">
        <v>0.78187260920105106</v>
      </c>
      <c r="V222" s="3">
        <v>12203.31488333111</v>
      </c>
      <c r="W222">
        <v>13.822675723083419</v>
      </c>
      <c r="X222">
        <v>9.5928296441112675</v>
      </c>
      <c r="Y222">
        <v>4.7231630287186626</v>
      </c>
      <c r="Z222" s="5">
        <v>0.32992214627789451</v>
      </c>
      <c r="AA222">
        <v>51.298554246584317</v>
      </c>
      <c r="AB222">
        <v>48.754874953543577</v>
      </c>
      <c r="AC222">
        <v>21.350376415122529</v>
      </c>
      <c r="AD222" s="5">
        <v>0.30454746254094722</v>
      </c>
      <c r="AE222">
        <v>260.72125643606188</v>
      </c>
      <c r="AF222">
        <v>114.17313590974609</v>
      </c>
      <c r="AG222">
        <v>25.25755630330838</v>
      </c>
      <c r="AH222" t="str">
        <f t="shared" si="7"/>
        <v>True</v>
      </c>
      <c r="AI222">
        <v>2</v>
      </c>
    </row>
    <row r="223" spans="1:35" x14ac:dyDescent="0.35">
      <c r="A223" t="s">
        <v>284</v>
      </c>
      <c r="B223" t="s">
        <v>280</v>
      </c>
      <c r="C223" t="s">
        <v>33</v>
      </c>
      <c r="D223" t="s">
        <v>34</v>
      </c>
      <c r="E223" t="s">
        <v>39</v>
      </c>
      <c r="F223" t="s">
        <v>34</v>
      </c>
      <c r="G223" t="s">
        <v>37</v>
      </c>
      <c r="H223" t="s">
        <v>35</v>
      </c>
      <c r="I223" t="s">
        <v>35</v>
      </c>
      <c r="J223" t="s">
        <v>37</v>
      </c>
      <c r="K223" t="s">
        <v>37</v>
      </c>
      <c r="L223" t="s">
        <v>37</v>
      </c>
      <c r="M223" t="s">
        <v>37</v>
      </c>
      <c r="N223" t="s">
        <v>37</v>
      </c>
      <c r="O223" t="str">
        <f t="shared" si="8"/>
        <v>True</v>
      </c>
      <c r="P223" s="3">
        <v>225311.14</v>
      </c>
      <c r="Q223" s="3">
        <v>1105.8688584117619</v>
      </c>
      <c r="R223" s="3">
        <v>4034.4104402403291</v>
      </c>
      <c r="S223" s="3">
        <v>2120.6567908661059</v>
      </c>
      <c r="T223" s="3">
        <v>434.90256795697479</v>
      </c>
      <c r="U223">
        <v>0.21475394890219929</v>
      </c>
      <c r="V223" s="3">
        <v>-135924.87983605391</v>
      </c>
      <c r="W223">
        <v>50.412924668008259</v>
      </c>
      <c r="X223">
        <v>3.6041958630684152</v>
      </c>
      <c r="Y223">
        <v>10.71179680976152</v>
      </c>
      <c r="Z223" s="5">
        <v>0.74823989188617335</v>
      </c>
      <c r="AA223">
        <v>19.273774668815051</v>
      </c>
      <c r="AB223">
        <v>21.718794322009821</v>
      </c>
      <c r="AC223">
        <v>48.386457046656282</v>
      </c>
      <c r="AD223" s="5">
        <v>0.69019732619178442</v>
      </c>
      <c r="AE223">
        <v>116.1432851444375</v>
      </c>
      <c r="AF223">
        <v>258.75110720137047</v>
      </c>
      <c r="AG223">
        <v>57.282335881077643</v>
      </c>
      <c r="AH223" t="str">
        <f t="shared" si="7"/>
        <v>True</v>
      </c>
      <c r="AI223">
        <v>2</v>
      </c>
    </row>
    <row r="224" spans="1:35" x14ac:dyDescent="0.35">
      <c r="A224" t="s">
        <v>285</v>
      </c>
      <c r="B224" t="s">
        <v>280</v>
      </c>
      <c r="C224" t="s">
        <v>33</v>
      </c>
      <c r="D224" t="s">
        <v>283</v>
      </c>
      <c r="E224" t="s">
        <v>283</v>
      </c>
      <c r="F224" t="s">
        <v>283</v>
      </c>
      <c r="G224" t="s">
        <v>35</v>
      </c>
      <c r="H224" t="s">
        <v>37</v>
      </c>
      <c r="I224" t="s">
        <v>35</v>
      </c>
      <c r="J224" t="s">
        <v>35</v>
      </c>
      <c r="K224" t="s">
        <v>35</v>
      </c>
      <c r="L224" t="s">
        <v>35</v>
      </c>
      <c r="M224" t="s">
        <v>35</v>
      </c>
      <c r="N224" t="s">
        <v>35</v>
      </c>
      <c r="O224" t="str">
        <f t="shared" si="8"/>
        <v>False</v>
      </c>
      <c r="P224" s="3">
        <v>65536.128000000012</v>
      </c>
      <c r="Q224" s="3">
        <v>3362.0900627666042</v>
      </c>
      <c r="R224" s="3">
        <v>1778.1892358854859</v>
      </c>
      <c r="S224" s="3">
        <v>2358.246850542012</v>
      </c>
      <c r="T224" s="3">
        <v>197.31250828106931</v>
      </c>
      <c r="U224">
        <v>0.32578025383377118</v>
      </c>
      <c r="V224" s="3">
        <v>-26026.093116668901</v>
      </c>
      <c r="W224">
        <v>33.174421735400223</v>
      </c>
      <c r="X224">
        <v>9.5928296441112675</v>
      </c>
      <c r="Y224">
        <v>4.7231630287186626</v>
      </c>
      <c r="Z224" s="5">
        <v>0.32992214627789451</v>
      </c>
      <c r="AA224">
        <v>51.298554246584317</v>
      </c>
      <c r="AB224">
        <v>48.754874953543577</v>
      </c>
      <c r="AC224">
        <v>21.350376415122529</v>
      </c>
      <c r="AD224" s="5">
        <v>0.30454746254094722</v>
      </c>
      <c r="AE224">
        <v>260.72125643606188</v>
      </c>
      <c r="AF224">
        <v>114.17313590974609</v>
      </c>
      <c r="AG224">
        <v>25.25755630330838</v>
      </c>
      <c r="AH224" t="str">
        <f t="shared" si="7"/>
        <v>False</v>
      </c>
      <c r="AI224">
        <v>2</v>
      </c>
    </row>
    <row r="225" spans="1:35" x14ac:dyDescent="0.35">
      <c r="A225" t="s">
        <v>286</v>
      </c>
      <c r="B225" t="s">
        <v>280</v>
      </c>
      <c r="C225" t="s">
        <v>33</v>
      </c>
      <c r="D225" t="s">
        <v>281</v>
      </c>
      <c r="E225" t="s">
        <v>283</v>
      </c>
      <c r="F225" t="s">
        <v>281</v>
      </c>
      <c r="G225" t="s">
        <v>35</v>
      </c>
      <c r="H225" t="s">
        <v>35</v>
      </c>
      <c r="I225" t="s">
        <v>35</v>
      </c>
      <c r="J225" t="s">
        <v>35</v>
      </c>
      <c r="K225" t="s">
        <v>37</v>
      </c>
      <c r="L225" t="s">
        <v>35</v>
      </c>
      <c r="M225" t="s">
        <v>35</v>
      </c>
      <c r="N225" t="s">
        <v>35</v>
      </c>
      <c r="O225" t="str">
        <f t="shared" si="8"/>
        <v>False</v>
      </c>
      <c r="P225" s="3">
        <v>24518.400000000001</v>
      </c>
      <c r="Q225" s="3">
        <v>4587.9421356072498</v>
      </c>
      <c r="R225" s="3">
        <v>552.33716304484039</v>
      </c>
      <c r="S225" s="3">
        <v>2494.5968743455091</v>
      </c>
      <c r="T225" s="3">
        <v>60.962484477572353</v>
      </c>
      <c r="U225">
        <v>0.27042660569760307</v>
      </c>
      <c r="V225" s="3">
        <v>-12252.40704955175</v>
      </c>
      <c r="W225">
        <v>39.977847857973842</v>
      </c>
      <c r="X225">
        <v>12.849003237174999</v>
      </c>
      <c r="Y225">
        <v>1.4669894356549289</v>
      </c>
      <c r="Z225" s="5">
        <v>0.10247207226077321</v>
      </c>
      <c r="AA225">
        <v>68.711247257620329</v>
      </c>
      <c r="AB225">
        <v>63.47482367952999</v>
      </c>
      <c r="AC225">
        <v>6.6304276891361127</v>
      </c>
      <c r="AD225" s="5">
        <v>9.45781886476426E-2</v>
      </c>
      <c r="AE225">
        <v>339.43755978358291</v>
      </c>
      <c r="AF225">
        <v>35.456832562225202</v>
      </c>
      <c r="AG225">
        <v>7.8448632922723647</v>
      </c>
      <c r="AH225" t="str">
        <f t="shared" si="7"/>
        <v>False</v>
      </c>
      <c r="AI225">
        <v>1</v>
      </c>
    </row>
    <row r="226" spans="1:35" x14ac:dyDescent="0.35">
      <c r="A226" t="s">
        <v>287</v>
      </c>
      <c r="B226" t="s">
        <v>280</v>
      </c>
      <c r="C226" t="s">
        <v>33</v>
      </c>
      <c r="D226" t="s">
        <v>281</v>
      </c>
      <c r="E226" t="s">
        <v>283</v>
      </c>
      <c r="F226" t="s">
        <v>281</v>
      </c>
      <c r="G226" t="s">
        <v>35</v>
      </c>
      <c r="H226" t="s">
        <v>35</v>
      </c>
      <c r="I226" t="s">
        <v>35</v>
      </c>
      <c r="J226" t="s">
        <v>35</v>
      </c>
      <c r="K226" t="s">
        <v>35</v>
      </c>
      <c r="L226" t="s">
        <v>37</v>
      </c>
      <c r="M226" t="s">
        <v>35</v>
      </c>
      <c r="N226" t="s">
        <v>35</v>
      </c>
      <c r="O226" t="str">
        <f t="shared" si="8"/>
        <v>False</v>
      </c>
      <c r="P226" s="3">
        <v>29061.5</v>
      </c>
      <c r="Q226" s="3">
        <v>4508.7602293603068</v>
      </c>
      <c r="R226" s="3">
        <v>631.51906929178404</v>
      </c>
      <c r="S226" s="3">
        <v>2485.4077144778471</v>
      </c>
      <c r="T226" s="3">
        <v>70.15164434523399</v>
      </c>
      <c r="U226">
        <v>0.26092431218410977</v>
      </c>
      <c r="V226" s="3">
        <v>-15028.08572725964</v>
      </c>
      <c r="W226">
        <v>41.417575844605977</v>
      </c>
      <c r="X226">
        <v>12.63854859293096</v>
      </c>
      <c r="Y226">
        <v>1.677444079898972</v>
      </c>
      <c r="Z226" s="5">
        <v>0.1171727394833447</v>
      </c>
      <c r="AA226">
        <v>67.585821352571969</v>
      </c>
      <c r="AB226">
        <v>62.522399470127603</v>
      </c>
      <c r="AC226">
        <v>7.5828518985385074</v>
      </c>
      <c r="AD226" s="5">
        <v>0.10816382154686489</v>
      </c>
      <c r="AE226">
        <v>334.34438219319571</v>
      </c>
      <c r="AF226">
        <v>40.550010152612337</v>
      </c>
      <c r="AG226">
        <v>8.9702891973207244</v>
      </c>
      <c r="AH226" t="str">
        <f t="shared" si="7"/>
        <v>False</v>
      </c>
      <c r="AI226">
        <v>2</v>
      </c>
    </row>
    <row r="227" spans="1:35" x14ac:dyDescent="0.35">
      <c r="A227" t="s">
        <v>288</v>
      </c>
      <c r="B227" t="s">
        <v>280</v>
      </c>
      <c r="C227" t="s">
        <v>33</v>
      </c>
      <c r="D227" t="s">
        <v>283</v>
      </c>
      <c r="E227" t="s">
        <v>283</v>
      </c>
      <c r="F227" t="s">
        <v>283</v>
      </c>
      <c r="G227" t="s">
        <v>35</v>
      </c>
      <c r="H227" t="s">
        <v>35</v>
      </c>
      <c r="I227" t="s">
        <v>35</v>
      </c>
      <c r="J227" t="s">
        <v>37</v>
      </c>
      <c r="K227" t="s">
        <v>35</v>
      </c>
      <c r="L227" t="s">
        <v>35</v>
      </c>
      <c r="M227" t="s">
        <v>35</v>
      </c>
      <c r="N227" t="s">
        <v>35</v>
      </c>
      <c r="O227" t="str">
        <f t="shared" si="8"/>
        <v>False</v>
      </c>
      <c r="P227" s="3">
        <v>122880.24</v>
      </c>
      <c r="Q227" s="3">
        <v>4081.5854242075029</v>
      </c>
      <c r="R227" s="3">
        <v>1058.693874444587</v>
      </c>
      <c r="S227" s="3">
        <v>2437.9846074295729</v>
      </c>
      <c r="T227" s="3">
        <v>117.5747513935077</v>
      </c>
      <c r="U227">
        <v>0.10344994034645121</v>
      </c>
      <c r="V227" s="3">
        <v>-99354.867483238122</v>
      </c>
      <c r="W227">
        <v>104.4661374968218</v>
      </c>
      <c r="X227">
        <v>11.50389449375759</v>
      </c>
      <c r="Y227">
        <v>2.8120981790723429</v>
      </c>
      <c r="Z227" s="5">
        <v>0.19643054053872039</v>
      </c>
      <c r="AA227">
        <v>61.518152373035228</v>
      </c>
      <c r="AB227">
        <v>57.393297870908498</v>
      </c>
      <c r="AC227">
        <v>12.711953497757611</v>
      </c>
      <c r="AD227" s="5">
        <v>0.18132669449979719</v>
      </c>
      <c r="AE227">
        <v>306.91603139523261</v>
      </c>
      <c r="AF227">
        <v>67.978360950575436</v>
      </c>
      <c r="AG227">
        <v>15.037958176857471</v>
      </c>
      <c r="AH227" t="str">
        <f t="shared" si="7"/>
        <v>True</v>
      </c>
      <c r="AI227">
        <v>1</v>
      </c>
    </row>
    <row r="228" spans="1:35" x14ac:dyDescent="0.35">
      <c r="A228" t="s">
        <v>289</v>
      </c>
      <c r="B228" t="s">
        <v>280</v>
      </c>
      <c r="C228" t="s">
        <v>33</v>
      </c>
      <c r="D228" t="s">
        <v>281</v>
      </c>
      <c r="E228" t="s">
        <v>283</v>
      </c>
      <c r="F228" t="s">
        <v>281</v>
      </c>
      <c r="G228" t="s">
        <v>35</v>
      </c>
      <c r="H228" t="s">
        <v>35</v>
      </c>
      <c r="I228" t="s">
        <v>35</v>
      </c>
      <c r="J228" t="s">
        <v>35</v>
      </c>
      <c r="K228" t="s">
        <v>35</v>
      </c>
      <c r="L228" t="s">
        <v>35</v>
      </c>
      <c r="M228" t="s">
        <v>35</v>
      </c>
      <c r="N228" t="s">
        <v>37</v>
      </c>
      <c r="O228" t="str">
        <f t="shared" si="8"/>
        <v>False</v>
      </c>
      <c r="P228" s="3">
        <v>10662.32</v>
      </c>
      <c r="Q228" s="3">
        <v>4703.1380545729344</v>
      </c>
      <c r="R228" s="3">
        <v>437.14124407915568</v>
      </c>
      <c r="S228" s="3">
        <v>2556.3254401722138</v>
      </c>
      <c r="T228" s="3">
        <v>-0.76608134913287129</v>
      </c>
      <c r="U228">
        <v>0.47274016667566748</v>
      </c>
      <c r="V228" s="3">
        <v>-1934.816745399545</v>
      </c>
      <c r="W228">
        <v>24.43383792353136</v>
      </c>
      <c r="X228">
        <v>13.17131859569851</v>
      </c>
      <c r="Y228">
        <v>1.144674077131421</v>
      </c>
      <c r="Z228" s="5">
        <v>7.9957716051634903E-2</v>
      </c>
      <c r="AA228">
        <v>70.434858800526783</v>
      </c>
      <c r="AB228">
        <v>65.0647444347168</v>
      </c>
      <c r="AC228">
        <v>5.0405069339493016</v>
      </c>
      <c r="AD228" s="5">
        <v>7.18991350226037E-2</v>
      </c>
      <c r="AE228">
        <v>347.93980981131978</v>
      </c>
      <c r="AF228">
        <v>26.954582534488249</v>
      </c>
      <c r="AG228">
        <v>6.1212517493659107</v>
      </c>
      <c r="AH228" t="str">
        <f t="shared" si="7"/>
        <v>False</v>
      </c>
      <c r="AI228">
        <v>0</v>
      </c>
    </row>
    <row r="229" spans="1:35" x14ac:dyDescent="0.35">
      <c r="A229" t="s">
        <v>290</v>
      </c>
      <c r="B229" t="s">
        <v>280</v>
      </c>
      <c r="C229" t="s">
        <v>33</v>
      </c>
      <c r="D229" t="s">
        <v>281</v>
      </c>
      <c r="E229" t="s">
        <v>283</v>
      </c>
      <c r="F229" t="s">
        <v>281</v>
      </c>
      <c r="G229" t="s">
        <v>35</v>
      </c>
      <c r="H229" t="s">
        <v>35</v>
      </c>
      <c r="I229" t="s">
        <v>35</v>
      </c>
      <c r="J229" t="s">
        <v>35</v>
      </c>
      <c r="K229" t="s">
        <v>35</v>
      </c>
      <c r="L229" t="s">
        <v>35</v>
      </c>
      <c r="M229" t="s">
        <v>37</v>
      </c>
      <c r="N229" t="s">
        <v>35</v>
      </c>
      <c r="O229" t="str">
        <f t="shared" si="8"/>
        <v>False</v>
      </c>
      <c r="P229" s="3">
        <v>13250</v>
      </c>
      <c r="Q229" s="3">
        <v>4626.445730909275</v>
      </c>
      <c r="R229" s="3">
        <v>513.83356774281583</v>
      </c>
      <c r="S229" s="3">
        <v>2498.2913998341201</v>
      </c>
      <c r="T229" s="3">
        <v>57.267958988961318</v>
      </c>
      <c r="U229">
        <v>0.4657029471461282</v>
      </c>
      <c r="V229" s="3">
        <v>-1827.969465364456</v>
      </c>
      <c r="W229">
        <v>23.200778460224601</v>
      </c>
      <c r="X229">
        <v>12.951082229370201</v>
      </c>
      <c r="Y229">
        <v>1.3649104434597259</v>
      </c>
      <c r="Z229" s="5">
        <v>9.5341655633155303E-2</v>
      </c>
      <c r="AA229">
        <v>69.257124221231038</v>
      </c>
      <c r="AB229">
        <v>63.934687318979897</v>
      </c>
      <c r="AC229">
        <v>6.1705640496861989</v>
      </c>
      <c r="AD229" s="5">
        <v>8.8018571065906798E-2</v>
      </c>
      <c r="AE229">
        <v>341.89672363090858</v>
      </c>
      <c r="AF229">
        <v>32.997668714899461</v>
      </c>
      <c r="AG229">
        <v>7.2989863286616554</v>
      </c>
      <c r="AH229" t="str">
        <f t="shared" si="7"/>
        <v>False</v>
      </c>
      <c r="AI229">
        <v>0</v>
      </c>
    </row>
    <row r="230" spans="1:35" x14ac:dyDescent="0.35">
      <c r="A230" t="s">
        <v>291</v>
      </c>
      <c r="B230" t="s">
        <v>280</v>
      </c>
      <c r="C230" t="s">
        <v>33</v>
      </c>
      <c r="D230" t="s">
        <v>34</v>
      </c>
      <c r="E230" t="s">
        <v>34</v>
      </c>
      <c r="F230" t="s">
        <v>34</v>
      </c>
      <c r="G230" t="s">
        <v>37</v>
      </c>
      <c r="H230" t="s">
        <v>35</v>
      </c>
      <c r="I230" t="s">
        <v>35</v>
      </c>
      <c r="J230" t="s">
        <v>35</v>
      </c>
      <c r="K230" t="s">
        <v>37</v>
      </c>
      <c r="L230" t="s">
        <v>37</v>
      </c>
      <c r="M230" t="s">
        <v>35</v>
      </c>
      <c r="N230" t="s">
        <v>35</v>
      </c>
      <c r="O230" t="str">
        <f t="shared" si="8"/>
        <v>True</v>
      </c>
      <c r="P230" s="3">
        <v>80886.62000000001</v>
      </c>
      <c r="Q230" s="3">
        <v>2338.2374491577261</v>
      </c>
      <c r="R230" s="3">
        <v>2802.0418494943642</v>
      </c>
      <c r="S230" s="3">
        <v>2245.0721740487702</v>
      </c>
      <c r="T230" s="3">
        <v>310.48718477431089</v>
      </c>
      <c r="U230">
        <v>0.41591231749709939</v>
      </c>
      <c r="V230" s="3">
        <v>-18636.039314626509</v>
      </c>
      <c r="W230">
        <v>25.98742665833646</v>
      </c>
      <c r="X230">
        <v>6.8734538082555261</v>
      </c>
      <c r="Y230">
        <v>7.4425388645744039</v>
      </c>
      <c r="Z230" s="5">
        <v>0.51987585036275319</v>
      </c>
      <c r="AA230">
        <v>36.756437477302278</v>
      </c>
      <c r="AB230">
        <v>36.46350978995887</v>
      </c>
      <c r="AC230">
        <v>33.641741578707233</v>
      </c>
      <c r="AD230" s="5">
        <v>0.47987477288675101</v>
      </c>
      <c r="AE230">
        <v>194.99203096234689</v>
      </c>
      <c r="AF230">
        <v>179.90236138346111</v>
      </c>
      <c r="AG230">
        <v>39.799673072590423</v>
      </c>
      <c r="AH230" t="str">
        <f t="shared" si="7"/>
        <v>True</v>
      </c>
      <c r="AI230">
        <v>2</v>
      </c>
    </row>
    <row r="231" spans="1:35" x14ac:dyDescent="0.35">
      <c r="A231" t="s">
        <v>292</v>
      </c>
      <c r="B231" t="s">
        <v>280</v>
      </c>
      <c r="C231" t="s">
        <v>33</v>
      </c>
      <c r="D231" t="s">
        <v>34</v>
      </c>
      <c r="E231" t="s">
        <v>34</v>
      </c>
      <c r="F231" t="s">
        <v>34</v>
      </c>
      <c r="G231" t="s">
        <v>37</v>
      </c>
      <c r="H231" t="s">
        <v>35</v>
      </c>
      <c r="I231" t="s">
        <v>35</v>
      </c>
      <c r="J231" t="s">
        <v>35</v>
      </c>
      <c r="K231" t="s">
        <v>37</v>
      </c>
      <c r="L231" t="s">
        <v>37</v>
      </c>
      <c r="M231" t="s">
        <v>35</v>
      </c>
      <c r="N231" t="s">
        <v>37</v>
      </c>
      <c r="O231" t="str">
        <f t="shared" si="8"/>
        <v>True</v>
      </c>
      <c r="P231" s="3">
        <v>89777.96</v>
      </c>
      <c r="Q231" s="3">
        <v>2121.5427051259112</v>
      </c>
      <c r="R231" s="3">
        <v>3018.7365935261801</v>
      </c>
      <c r="S231" s="3">
        <v>2245.851844352318</v>
      </c>
      <c r="T231" s="3">
        <v>309.70751447076231</v>
      </c>
      <c r="U231">
        <v>0.40253393447640051</v>
      </c>
      <c r="V231" s="3">
        <v>-23209.077840061171</v>
      </c>
      <c r="W231">
        <v>26.972951050702299</v>
      </c>
      <c r="X231">
        <v>6.3061623155617657</v>
      </c>
      <c r="Y231">
        <v>8.0098303572681644</v>
      </c>
      <c r="Z231" s="5">
        <v>0.55950226717214524</v>
      </c>
      <c r="AA231">
        <v>33.722793131346343</v>
      </c>
      <c r="AB231">
        <v>33.9665759006012</v>
      </c>
      <c r="AC231">
        <v>36.138675468064903</v>
      </c>
      <c r="AD231" s="5">
        <v>0.51549170372445552</v>
      </c>
      <c r="AE231">
        <v>181.63944331872301</v>
      </c>
      <c r="AF231">
        <v>193.25494902708499</v>
      </c>
      <c r="AG231">
        <v>42.833317418546358</v>
      </c>
      <c r="AH231" t="str">
        <f t="shared" si="7"/>
        <v>True</v>
      </c>
      <c r="AI231">
        <v>2</v>
      </c>
    </row>
    <row r="232" spans="1:35" x14ac:dyDescent="0.35">
      <c r="A232" t="s">
        <v>293</v>
      </c>
      <c r="B232" t="s">
        <v>294</v>
      </c>
      <c r="C232" t="s">
        <v>33</v>
      </c>
      <c r="D232" t="s">
        <v>39</v>
      </c>
      <c r="E232" t="s">
        <v>39</v>
      </c>
      <c r="F232" t="s">
        <v>39</v>
      </c>
      <c r="G232" t="s">
        <v>35</v>
      </c>
      <c r="H232" t="s">
        <v>35</v>
      </c>
      <c r="I232" t="s">
        <v>35</v>
      </c>
      <c r="J232" t="s">
        <v>35</v>
      </c>
      <c r="K232" t="s">
        <v>35</v>
      </c>
      <c r="L232" t="s">
        <v>35</v>
      </c>
      <c r="M232" t="s">
        <v>35</v>
      </c>
      <c r="N232" t="s">
        <v>35</v>
      </c>
      <c r="O232" t="str">
        <f t="shared" si="8"/>
        <v>False</v>
      </c>
      <c r="P232" s="3">
        <v>0</v>
      </c>
      <c r="Q232" s="3">
        <v>5190.0624946781554</v>
      </c>
      <c r="R232" s="3">
        <v>0</v>
      </c>
      <c r="S232" s="3">
        <v>3354.4860824157372</v>
      </c>
      <c r="T232" s="3">
        <v>0</v>
      </c>
      <c r="U232">
        <v>0</v>
      </c>
      <c r="V232" s="3">
        <v>0</v>
      </c>
      <c r="W232">
        <v>0</v>
      </c>
      <c r="X232">
        <v>14.93524298831348</v>
      </c>
      <c r="Y232">
        <v>-5.3290705182007514E-15</v>
      </c>
      <c r="Z232" s="5">
        <v>-3.5681177215333148E-16</v>
      </c>
      <c r="AA232">
        <v>14.416257710727299</v>
      </c>
      <c r="AB232">
        <v>76.86777294126901</v>
      </c>
      <c r="AC232">
        <v>0</v>
      </c>
      <c r="AD232" s="5">
        <v>0</v>
      </c>
      <c r="AE232">
        <v>74.196692028251945</v>
      </c>
      <c r="AF232">
        <v>0</v>
      </c>
      <c r="AG232">
        <v>-1.7763568394002501E-15</v>
      </c>
      <c r="AH232" t="str">
        <f t="shared" si="7"/>
        <v>False</v>
      </c>
      <c r="AI232">
        <v>0</v>
      </c>
    </row>
    <row r="233" spans="1:35" x14ac:dyDescent="0.35">
      <c r="A233" t="s">
        <v>295</v>
      </c>
      <c r="B233" t="s">
        <v>294</v>
      </c>
      <c r="C233" t="s">
        <v>33</v>
      </c>
      <c r="D233" t="s">
        <v>52</v>
      </c>
      <c r="E233" t="s">
        <v>77</v>
      </c>
      <c r="F233" t="s">
        <v>52</v>
      </c>
      <c r="G233" t="s">
        <v>37</v>
      </c>
      <c r="H233" t="s">
        <v>35</v>
      </c>
      <c r="I233" t="s">
        <v>35</v>
      </c>
      <c r="J233" t="s">
        <v>37</v>
      </c>
      <c r="K233" t="s">
        <v>35</v>
      </c>
      <c r="L233" t="s">
        <v>35</v>
      </c>
      <c r="M233" t="s">
        <v>37</v>
      </c>
      <c r="N233" t="s">
        <v>35</v>
      </c>
      <c r="O233" t="str">
        <f t="shared" si="8"/>
        <v>True</v>
      </c>
      <c r="P233" s="3">
        <v>285438.09999999998</v>
      </c>
      <c r="Q233" s="3">
        <v>645.82422421491879</v>
      </c>
      <c r="R233" s="3">
        <v>4544.2382704632364</v>
      </c>
      <c r="S233" s="3">
        <v>2881.1701110935978</v>
      </c>
      <c r="T233" s="3">
        <v>473.31597132213881</v>
      </c>
      <c r="U233">
        <v>0.19208381247203571</v>
      </c>
      <c r="V233" s="3">
        <v>-185087.0151642925</v>
      </c>
      <c r="W233">
        <v>56.887895226506558</v>
      </c>
      <c r="X233">
        <v>2.8439656664149009</v>
      </c>
      <c r="Y233">
        <v>12.091277321898581</v>
      </c>
      <c r="Z233" s="5">
        <v>0.80958022118285955</v>
      </c>
      <c r="AA233">
        <v>2.7451406046475881</v>
      </c>
      <c r="AB233">
        <v>22.039734468494849</v>
      </c>
      <c r="AC233">
        <v>54.828038472774161</v>
      </c>
      <c r="AD233" s="5">
        <v>0.71327731212748469</v>
      </c>
      <c r="AE233">
        <v>21.27387496958962</v>
      </c>
      <c r="AF233">
        <v>52.922817058662318</v>
      </c>
      <c r="AG233">
        <v>11.671117106079709</v>
      </c>
      <c r="AH233" t="str">
        <f t="shared" si="7"/>
        <v>True</v>
      </c>
      <c r="AI233">
        <v>2</v>
      </c>
    </row>
    <row r="234" spans="1:35" x14ac:dyDescent="0.35">
      <c r="A234" t="s">
        <v>296</v>
      </c>
      <c r="B234" t="s">
        <v>294</v>
      </c>
      <c r="C234" t="s">
        <v>33</v>
      </c>
      <c r="D234" t="s">
        <v>52</v>
      </c>
      <c r="E234" t="s">
        <v>52</v>
      </c>
      <c r="F234" t="s">
        <v>52</v>
      </c>
      <c r="G234" t="s">
        <v>37</v>
      </c>
      <c r="H234" t="s">
        <v>35</v>
      </c>
      <c r="I234" t="s">
        <v>35</v>
      </c>
      <c r="J234" t="s">
        <v>35</v>
      </c>
      <c r="K234" t="s">
        <v>35</v>
      </c>
      <c r="L234" t="s">
        <v>35</v>
      </c>
      <c r="M234" t="s">
        <v>35</v>
      </c>
      <c r="N234" t="s">
        <v>35</v>
      </c>
      <c r="O234" t="str">
        <f t="shared" si="8"/>
        <v>False</v>
      </c>
      <c r="P234" s="3">
        <v>48034.2</v>
      </c>
      <c r="Q234" s="3">
        <v>1737.28231624615</v>
      </c>
      <c r="R234" s="3">
        <v>3452.780178432004</v>
      </c>
      <c r="S234" s="3">
        <v>2995.0402450572319</v>
      </c>
      <c r="T234" s="3">
        <v>359.44583735850432</v>
      </c>
      <c r="U234">
        <v>0.86726161720130268</v>
      </c>
      <c r="V234" s="3">
        <v>28210.320315810171</v>
      </c>
      <c r="W234">
        <v>12.600039924453309</v>
      </c>
      <c r="X234">
        <v>5.7481843891025752</v>
      </c>
      <c r="Y234">
        <v>9.1870585992109035</v>
      </c>
      <c r="Z234" s="5">
        <v>0.61512615538961024</v>
      </c>
      <c r="AA234">
        <v>5.5484405300217912</v>
      </c>
      <c r="AB234">
        <v>35.2095549682982</v>
      </c>
      <c r="AC234">
        <v>41.65821797297081</v>
      </c>
      <c r="AD234" s="5">
        <v>0.54194646701680638</v>
      </c>
      <c r="AE234">
        <v>33.98605691920676</v>
      </c>
      <c r="AF234">
        <v>40.210635109045178</v>
      </c>
      <c r="AG234">
        <v>8.867817180705508</v>
      </c>
      <c r="AH234" t="str">
        <f t="shared" si="7"/>
        <v>True</v>
      </c>
      <c r="AI234">
        <v>2</v>
      </c>
    </row>
    <row r="235" spans="1:35" x14ac:dyDescent="0.35">
      <c r="A235" t="s">
        <v>297</v>
      </c>
      <c r="B235" t="s">
        <v>294</v>
      </c>
      <c r="C235" t="s">
        <v>33</v>
      </c>
      <c r="D235" t="s">
        <v>52</v>
      </c>
      <c r="E235" t="s">
        <v>39</v>
      </c>
      <c r="F235" t="s">
        <v>39</v>
      </c>
      <c r="G235" t="s">
        <v>35</v>
      </c>
      <c r="H235" t="s">
        <v>35</v>
      </c>
      <c r="I235" t="s">
        <v>35</v>
      </c>
      <c r="J235" t="s">
        <v>37</v>
      </c>
      <c r="K235" t="s">
        <v>35</v>
      </c>
      <c r="L235" t="s">
        <v>35</v>
      </c>
      <c r="M235" t="s">
        <v>35</v>
      </c>
      <c r="N235" t="s">
        <v>35</v>
      </c>
      <c r="O235" t="str">
        <f t="shared" si="8"/>
        <v>False</v>
      </c>
      <c r="P235" s="3">
        <v>216153.9</v>
      </c>
      <c r="Q235" s="3">
        <v>4666.2852684503287</v>
      </c>
      <c r="R235" s="3">
        <v>523.77722622782585</v>
      </c>
      <c r="S235" s="3">
        <v>3299.9569594710078</v>
      </c>
      <c r="T235" s="3">
        <v>54.529122944728464</v>
      </c>
      <c r="U235">
        <v>2.9235872070842599E-2</v>
      </c>
      <c r="V235" s="3">
        <v>-204587.77301654889</v>
      </c>
      <c r="W235">
        <v>373.77058078175151</v>
      </c>
      <c r="X235">
        <v>13.541590675079791</v>
      </c>
      <c r="Y235">
        <v>1.3936523132336891</v>
      </c>
      <c r="Z235" s="5">
        <v>9.3312998946464595E-2</v>
      </c>
      <c r="AA235">
        <v>13.071033470154241</v>
      </c>
      <c r="AB235">
        <v>70.548325173255293</v>
      </c>
      <c r="AC235">
        <v>6.3194477680137169</v>
      </c>
      <c r="AD235" s="5">
        <v>8.2211927394359396E-2</v>
      </c>
      <c r="AE235">
        <v>68.096838970323631</v>
      </c>
      <c r="AF235">
        <v>6.0998530579282981</v>
      </c>
      <c r="AG235">
        <v>1.3452242405730599</v>
      </c>
      <c r="AH235" t="str">
        <f t="shared" si="7"/>
        <v>True</v>
      </c>
      <c r="AI235">
        <v>1</v>
      </c>
    </row>
    <row r="236" spans="1:35" x14ac:dyDescent="0.35">
      <c r="A236" t="s">
        <v>298</v>
      </c>
      <c r="B236" t="s">
        <v>294</v>
      </c>
      <c r="C236" t="s">
        <v>33</v>
      </c>
      <c r="D236" t="s">
        <v>52</v>
      </c>
      <c r="E236" t="s">
        <v>39</v>
      </c>
      <c r="F236" t="s">
        <v>39</v>
      </c>
      <c r="G236" t="s">
        <v>35</v>
      </c>
      <c r="H236" t="s">
        <v>35</v>
      </c>
      <c r="I236" t="s">
        <v>35</v>
      </c>
      <c r="J236" t="s">
        <v>35</v>
      </c>
      <c r="K236" t="s">
        <v>35</v>
      </c>
      <c r="L236" t="s">
        <v>35</v>
      </c>
      <c r="M236" t="s">
        <v>37</v>
      </c>
      <c r="N236" t="s">
        <v>35</v>
      </c>
      <c r="O236" t="str">
        <f t="shared" si="8"/>
        <v>False</v>
      </c>
      <c r="P236" s="3">
        <v>21250</v>
      </c>
      <c r="Q236" s="3">
        <v>4178.8702265795764</v>
      </c>
      <c r="R236" s="3">
        <v>1011.192268098578</v>
      </c>
      <c r="S236" s="3">
        <v>3580.1424033346798</v>
      </c>
      <c r="T236" s="3">
        <v>-225.65632091894349</v>
      </c>
      <c r="U236">
        <v>0.49527485677725269</v>
      </c>
      <c r="V236" s="3">
        <v>-5539.2810564073079</v>
      </c>
      <c r="W236">
        <v>27.051594616765001</v>
      </c>
      <c r="X236">
        <v>12.37706147770129</v>
      </c>
      <c r="Y236">
        <v>2.5581815106121919</v>
      </c>
      <c r="Z236" s="5">
        <v>0.17128489389920981</v>
      </c>
      <c r="AA236">
        <v>11.946970538321709</v>
      </c>
      <c r="AB236">
        <v>66.343182234752391</v>
      </c>
      <c r="AC236">
        <v>10.524590706516619</v>
      </c>
      <c r="AD236" s="5">
        <v>0.13691811670617751</v>
      </c>
      <c r="AE236">
        <v>64.037820689915435</v>
      </c>
      <c r="AF236">
        <v>10.15887133833651</v>
      </c>
      <c r="AG236">
        <v>2.4692871724055929</v>
      </c>
      <c r="AH236" t="str">
        <f t="shared" si="7"/>
        <v>False</v>
      </c>
      <c r="AI236">
        <v>0</v>
      </c>
    </row>
    <row r="237" spans="1:35" x14ac:dyDescent="0.35">
      <c r="A237" t="s">
        <v>299</v>
      </c>
      <c r="B237" t="s">
        <v>294</v>
      </c>
      <c r="C237" t="s">
        <v>33</v>
      </c>
      <c r="D237" t="s">
        <v>52</v>
      </c>
      <c r="E237" t="s">
        <v>52</v>
      </c>
      <c r="F237" t="s">
        <v>52</v>
      </c>
      <c r="G237" t="s">
        <v>37</v>
      </c>
      <c r="H237" t="s">
        <v>35</v>
      </c>
      <c r="I237" t="s">
        <v>35</v>
      </c>
      <c r="J237" t="s">
        <v>37</v>
      </c>
      <c r="K237" t="s">
        <v>35</v>
      </c>
      <c r="L237" t="s">
        <v>35</v>
      </c>
      <c r="M237" t="s">
        <v>35</v>
      </c>
      <c r="N237" t="s">
        <v>35</v>
      </c>
      <c r="O237" t="str">
        <f t="shared" si="8"/>
        <v>True</v>
      </c>
      <c r="P237" s="3">
        <v>264188.09999999998</v>
      </c>
      <c r="Q237" s="3">
        <v>1344.0672569351871</v>
      </c>
      <c r="R237" s="3">
        <v>3845.9952377429681</v>
      </c>
      <c r="S237" s="3">
        <v>2953.9417114284679</v>
      </c>
      <c r="T237" s="3">
        <v>400.54437098726862</v>
      </c>
      <c r="U237">
        <v>0.17564467951175469</v>
      </c>
      <c r="V237" s="3">
        <v>-179257.30782539531</v>
      </c>
      <c r="W237">
        <v>62.212559952783593</v>
      </c>
      <c r="X237">
        <v>4.7018636042008719</v>
      </c>
      <c r="Y237">
        <v>10.23337938411261</v>
      </c>
      <c r="Z237" s="5">
        <v>0.68518332056063747</v>
      </c>
      <c r="AA237">
        <v>4.5384783824332739</v>
      </c>
      <c r="AB237">
        <v>30.4645387859496</v>
      </c>
      <c r="AC237">
        <v>46.40323415531941</v>
      </c>
      <c r="AD237" s="5">
        <v>0.60367605798562551</v>
      </c>
      <c r="AE237">
        <v>29.40592546906332</v>
      </c>
      <c r="AF237">
        <v>44.790766559188633</v>
      </c>
      <c r="AG237">
        <v>9.8777793282940234</v>
      </c>
      <c r="AH237" t="str">
        <f t="shared" si="7"/>
        <v>True</v>
      </c>
      <c r="AI237">
        <v>2</v>
      </c>
    </row>
    <row r="238" spans="1:35" x14ac:dyDescent="0.35">
      <c r="A238" t="s">
        <v>300</v>
      </c>
      <c r="B238" t="s">
        <v>294</v>
      </c>
      <c r="C238" t="s">
        <v>33</v>
      </c>
      <c r="D238" t="s">
        <v>52</v>
      </c>
      <c r="E238" t="s">
        <v>52</v>
      </c>
      <c r="F238" t="s">
        <v>52</v>
      </c>
      <c r="G238" t="s">
        <v>37</v>
      </c>
      <c r="H238" t="s">
        <v>35</v>
      </c>
      <c r="I238" t="s">
        <v>35</v>
      </c>
      <c r="J238" t="s">
        <v>35</v>
      </c>
      <c r="K238" t="s">
        <v>35</v>
      </c>
      <c r="L238" t="s">
        <v>35</v>
      </c>
      <c r="M238" t="s">
        <v>37</v>
      </c>
      <c r="N238" t="s">
        <v>35</v>
      </c>
      <c r="O238" t="str">
        <f t="shared" si="8"/>
        <v>True</v>
      </c>
      <c r="P238" s="3">
        <v>69284.200000000012</v>
      </c>
      <c r="Q238" s="3">
        <v>973.42018606601835</v>
      </c>
      <c r="R238" s="3">
        <v>4216.6423086121367</v>
      </c>
      <c r="S238" s="3">
        <v>2915.3336115479578</v>
      </c>
      <c r="T238" s="3">
        <v>439.15247086777902</v>
      </c>
      <c r="U238">
        <v>0.73429801736753553</v>
      </c>
      <c r="V238" s="3">
        <v>23831.695589598301</v>
      </c>
      <c r="W238">
        <v>14.881283063713459</v>
      </c>
      <c r="X238">
        <v>3.7156474891211579</v>
      </c>
      <c r="Y238">
        <v>11.219595499192319</v>
      </c>
      <c r="Z238" s="5">
        <v>0.75121613407772636</v>
      </c>
      <c r="AA238">
        <v>3.5865323254065231</v>
      </c>
      <c r="AB238">
        <v>25.992522246373198</v>
      </c>
      <c r="AC238">
        <v>50.875250694895811</v>
      </c>
      <c r="AD238" s="5">
        <v>0.66185410020617041</v>
      </c>
      <c r="AE238">
        <v>25.089307187618921</v>
      </c>
      <c r="AF238">
        <v>49.107384840633017</v>
      </c>
      <c r="AG238">
        <v>10.82972538532078</v>
      </c>
      <c r="AH238" t="str">
        <f t="shared" si="7"/>
        <v>True</v>
      </c>
      <c r="AI238">
        <v>2</v>
      </c>
    </row>
    <row r="239" spans="1:35" x14ac:dyDescent="0.35">
      <c r="A239" t="s">
        <v>301</v>
      </c>
      <c r="B239" t="s">
        <v>302</v>
      </c>
      <c r="C239" t="s">
        <v>63</v>
      </c>
      <c r="D239" t="s">
        <v>39</v>
      </c>
      <c r="E239" t="s">
        <v>39</v>
      </c>
      <c r="F239" t="s">
        <v>39</v>
      </c>
      <c r="G239" t="s">
        <v>35</v>
      </c>
      <c r="H239" t="s">
        <v>35</v>
      </c>
      <c r="I239" t="s">
        <v>35</v>
      </c>
      <c r="J239" t="s">
        <v>35</v>
      </c>
      <c r="K239" t="s">
        <v>35</v>
      </c>
      <c r="L239" t="s">
        <v>35</v>
      </c>
      <c r="M239" t="s">
        <v>35</v>
      </c>
      <c r="N239" t="s">
        <v>35</v>
      </c>
      <c r="O239" t="str">
        <f t="shared" si="8"/>
        <v>False</v>
      </c>
      <c r="P239" s="3">
        <v>0</v>
      </c>
      <c r="Q239" s="3">
        <v>27891.290034000001</v>
      </c>
      <c r="R239" s="3">
        <v>0</v>
      </c>
      <c r="S239" s="3">
        <v>14501.340725</v>
      </c>
      <c r="T239" s="3">
        <v>0</v>
      </c>
      <c r="U239">
        <v>0</v>
      </c>
      <c r="V239" s="3">
        <v>0</v>
      </c>
      <c r="W239">
        <v>0</v>
      </c>
      <c r="X239">
        <v>78.851451690000005</v>
      </c>
      <c r="Y239">
        <v>0</v>
      </c>
      <c r="Z239" s="5">
        <v>0</v>
      </c>
      <c r="AA239">
        <v>18.623394352857819</v>
      </c>
      <c r="AB239">
        <v>395.23471000000001</v>
      </c>
      <c r="AC239">
        <v>0</v>
      </c>
      <c r="AD239" s="5">
        <v>0</v>
      </c>
      <c r="AE239">
        <v>93.347829475673123</v>
      </c>
      <c r="AF239">
        <v>0</v>
      </c>
      <c r="AG239">
        <v>0</v>
      </c>
      <c r="AH239" t="str">
        <f t="shared" si="7"/>
        <v>False</v>
      </c>
      <c r="AI239">
        <v>0</v>
      </c>
    </row>
    <row r="240" spans="1:35" x14ac:dyDescent="0.35">
      <c r="A240" t="s">
        <v>303</v>
      </c>
      <c r="B240" t="s">
        <v>302</v>
      </c>
      <c r="C240" t="s">
        <v>63</v>
      </c>
      <c r="D240" t="s">
        <v>52</v>
      </c>
      <c r="E240" t="s">
        <v>39</v>
      </c>
      <c r="F240" t="s">
        <v>39</v>
      </c>
      <c r="G240" t="s">
        <v>35</v>
      </c>
      <c r="H240" t="s">
        <v>37</v>
      </c>
      <c r="I240" t="s">
        <v>35</v>
      </c>
      <c r="J240" t="s">
        <v>35</v>
      </c>
      <c r="K240" t="s">
        <v>35</v>
      </c>
      <c r="L240" t="s">
        <v>35</v>
      </c>
      <c r="M240" t="s">
        <v>35</v>
      </c>
      <c r="N240" t="s">
        <v>35</v>
      </c>
      <c r="O240" t="str">
        <f t="shared" si="8"/>
        <v>False</v>
      </c>
      <c r="P240" s="3">
        <v>244162</v>
      </c>
      <c r="Q240" s="3">
        <v>23652.971028</v>
      </c>
      <c r="R240" s="3">
        <v>4238.3190060000034</v>
      </c>
      <c r="S240" s="3">
        <v>14058.08555</v>
      </c>
      <c r="T240" s="3">
        <v>443.25517500000097</v>
      </c>
      <c r="U240">
        <v>0.20947620841900061</v>
      </c>
      <c r="V240" s="3">
        <v>-150530.5163799999</v>
      </c>
      <c r="W240">
        <v>52.153824880298266</v>
      </c>
      <c r="X240">
        <v>67.57344101999999</v>
      </c>
      <c r="Y240">
        <v>11.278010670000009</v>
      </c>
      <c r="Z240" s="5">
        <v>0.14302857370767089</v>
      </c>
      <c r="AA240">
        <v>15.959716820973069</v>
      </c>
      <c r="AB240">
        <v>344.08857999999998</v>
      </c>
      <c r="AC240">
        <v>51.146130000000028</v>
      </c>
      <c r="AD240" s="5">
        <v>0.1294069794629121</v>
      </c>
      <c r="AE240">
        <v>81.267968823807266</v>
      </c>
      <c r="AF240">
        <v>12.07986065186585</v>
      </c>
      <c r="AG240">
        <v>2.6636775318847481</v>
      </c>
      <c r="AH240" t="str">
        <f t="shared" si="7"/>
        <v>False</v>
      </c>
      <c r="AI240">
        <v>5</v>
      </c>
    </row>
    <row r="241" spans="1:35" x14ac:dyDescent="0.35">
      <c r="A241" t="s">
        <v>304</v>
      </c>
      <c r="B241" t="s">
        <v>302</v>
      </c>
      <c r="C241" t="s">
        <v>63</v>
      </c>
      <c r="D241" t="s">
        <v>52</v>
      </c>
      <c r="E241" t="s">
        <v>52</v>
      </c>
      <c r="F241" t="s">
        <v>52</v>
      </c>
      <c r="G241" t="s">
        <v>35</v>
      </c>
      <c r="H241" t="s">
        <v>35</v>
      </c>
      <c r="I241" t="s">
        <v>35</v>
      </c>
      <c r="J241" t="s">
        <v>35</v>
      </c>
      <c r="K241" t="s">
        <v>35</v>
      </c>
      <c r="L241" t="s">
        <v>37</v>
      </c>
      <c r="M241" t="s">
        <v>35</v>
      </c>
      <c r="N241" t="s">
        <v>35</v>
      </c>
      <c r="O241" t="str">
        <f t="shared" si="8"/>
        <v>False</v>
      </c>
      <c r="P241" s="3">
        <v>312265.86</v>
      </c>
      <c r="Q241" s="3">
        <v>20744.230490999998</v>
      </c>
      <c r="R241" s="3">
        <v>7147.0595430000021</v>
      </c>
      <c r="S241" s="3">
        <v>13753.6314</v>
      </c>
      <c r="T241" s="3">
        <v>747.70932500000049</v>
      </c>
      <c r="U241">
        <v>0.27620300855175151</v>
      </c>
      <c r="V241" s="3">
        <v>-154370.48263999989</v>
      </c>
      <c r="W241">
        <v>39.553515146683061</v>
      </c>
      <c r="X241">
        <v>59.833289659999998</v>
      </c>
      <c r="Y241">
        <v>19.01816203000001</v>
      </c>
      <c r="Z241" s="5">
        <v>0.2411897513918809</v>
      </c>
      <c r="AA241">
        <v>14.13162249881908</v>
      </c>
      <c r="AB241">
        <v>308.98594000000003</v>
      </c>
      <c r="AC241">
        <v>86.248770000000036</v>
      </c>
      <c r="AD241" s="5">
        <v>0.2182216485996385</v>
      </c>
      <c r="AE241">
        <v>72.977312234293805</v>
      </c>
      <c r="AF241">
        <v>20.370517241379321</v>
      </c>
      <c r="AG241">
        <v>4.4917718540387366</v>
      </c>
      <c r="AH241" t="str">
        <f t="shared" si="7"/>
        <v>False</v>
      </c>
      <c r="AI241">
        <v>11</v>
      </c>
    </row>
    <row r="242" spans="1:35" x14ac:dyDescent="0.35">
      <c r="A242" t="s">
        <v>305</v>
      </c>
      <c r="B242" t="s">
        <v>302</v>
      </c>
      <c r="C242" t="s">
        <v>63</v>
      </c>
      <c r="D242" t="s">
        <v>52</v>
      </c>
      <c r="E242" t="s">
        <v>39</v>
      </c>
      <c r="F242" t="s">
        <v>39</v>
      </c>
      <c r="G242" t="s">
        <v>35</v>
      </c>
      <c r="H242" t="s">
        <v>35</v>
      </c>
      <c r="I242" t="s">
        <v>37</v>
      </c>
      <c r="J242" t="s">
        <v>35</v>
      </c>
      <c r="K242" t="s">
        <v>35</v>
      </c>
      <c r="L242" t="s">
        <v>35</v>
      </c>
      <c r="M242" t="s">
        <v>35</v>
      </c>
      <c r="N242" t="s">
        <v>35</v>
      </c>
      <c r="O242" t="str">
        <f t="shared" si="8"/>
        <v>False</v>
      </c>
      <c r="P242" s="3">
        <v>517000</v>
      </c>
      <c r="Q242" s="3">
        <v>23715.841445999999</v>
      </c>
      <c r="R242" s="3">
        <v>4175.4485880000002</v>
      </c>
      <c r="S242" s="3">
        <v>14069.017175000001</v>
      </c>
      <c r="T242" s="3">
        <v>432.32355000000018</v>
      </c>
      <c r="U242">
        <v>9.74185299806576E-2</v>
      </c>
      <c r="V242" s="3">
        <v>-424844.55723999999</v>
      </c>
      <c r="W242">
        <v>112.2017288433892</v>
      </c>
      <c r="X242">
        <v>67.742479470000006</v>
      </c>
      <c r="Y242">
        <v>11.10897222</v>
      </c>
      <c r="Z242" s="5">
        <v>0.14088481545874751</v>
      </c>
      <c r="AA242">
        <v>15.99964087623996</v>
      </c>
      <c r="AB242">
        <v>344.86932999999999</v>
      </c>
      <c r="AC242">
        <v>50.365380000000023</v>
      </c>
      <c r="AD242" s="5">
        <v>0.12743157097715441</v>
      </c>
      <c r="AE242">
        <v>81.452368918280584</v>
      </c>
      <c r="AF242">
        <v>11.895460557392539</v>
      </c>
      <c r="AG242">
        <v>2.6237534766178552</v>
      </c>
      <c r="AH242" t="str">
        <f t="shared" si="7"/>
        <v>True</v>
      </c>
      <c r="AI242">
        <v>3</v>
      </c>
    </row>
    <row r="243" spans="1:35" x14ac:dyDescent="0.35">
      <c r="A243" t="s">
        <v>306</v>
      </c>
      <c r="B243" t="s">
        <v>302</v>
      </c>
      <c r="C243" t="s">
        <v>63</v>
      </c>
      <c r="D243" t="s">
        <v>52</v>
      </c>
      <c r="E243" t="s">
        <v>52</v>
      </c>
      <c r="F243" t="s">
        <v>52</v>
      </c>
      <c r="G243" t="s">
        <v>35</v>
      </c>
      <c r="H243" t="s">
        <v>35</v>
      </c>
      <c r="I243" t="s">
        <v>35</v>
      </c>
      <c r="J243" t="s">
        <v>35</v>
      </c>
      <c r="K243" t="s">
        <v>35</v>
      </c>
      <c r="L243" t="s">
        <v>35</v>
      </c>
      <c r="M243" t="s">
        <v>37</v>
      </c>
      <c r="N243" t="s">
        <v>35</v>
      </c>
      <c r="O243" t="str">
        <f t="shared" si="8"/>
        <v>False</v>
      </c>
      <c r="P243" s="3">
        <v>353350</v>
      </c>
      <c r="Q243" s="3">
        <v>17548.646922</v>
      </c>
      <c r="R243" s="3">
        <v>10342.643112</v>
      </c>
      <c r="S243" s="3">
        <v>13420.504199999999</v>
      </c>
      <c r="T243" s="3">
        <v>1080.836524999999</v>
      </c>
      <c r="U243">
        <v>0.35320840526390268</v>
      </c>
      <c r="V243" s="3">
        <v>-124880.40726000001</v>
      </c>
      <c r="W243">
        <v>30.93190614666301</v>
      </c>
      <c r="X243">
        <v>51.330389879999998</v>
      </c>
      <c r="Y243">
        <v>27.52106181000001</v>
      </c>
      <c r="Z243" s="5">
        <v>0.34902416151065291</v>
      </c>
      <c r="AA243">
        <v>12.12337975436939</v>
      </c>
      <c r="AB243">
        <v>270.42851999999999</v>
      </c>
      <c r="AC243">
        <v>124.80619</v>
      </c>
      <c r="AD243" s="5">
        <v>0.3157774022428344</v>
      </c>
      <c r="AE243">
        <v>63.870694378837982</v>
      </c>
      <c r="AF243">
        <v>29.477135096835148</v>
      </c>
      <c r="AG243">
        <v>6.5000145984884288</v>
      </c>
      <c r="AH243" t="str">
        <f t="shared" si="7"/>
        <v>False</v>
      </c>
      <c r="AI243">
        <v>0</v>
      </c>
    </row>
    <row r="244" spans="1:35" x14ac:dyDescent="0.35">
      <c r="A244" t="s">
        <v>307</v>
      </c>
      <c r="B244" t="s">
        <v>302</v>
      </c>
      <c r="C244" t="s">
        <v>63</v>
      </c>
      <c r="D244" t="s">
        <v>52</v>
      </c>
      <c r="E244" t="s">
        <v>39</v>
      </c>
      <c r="F244" t="s">
        <v>39</v>
      </c>
      <c r="G244" t="s">
        <v>35</v>
      </c>
      <c r="H244" t="s">
        <v>35</v>
      </c>
      <c r="I244" t="s">
        <v>35</v>
      </c>
      <c r="J244" t="s">
        <v>35</v>
      </c>
      <c r="K244" t="s">
        <v>35</v>
      </c>
      <c r="L244" t="s">
        <v>35</v>
      </c>
      <c r="M244" t="s">
        <v>35</v>
      </c>
      <c r="N244" t="s">
        <v>37</v>
      </c>
      <c r="O244" t="str">
        <f t="shared" si="8"/>
        <v>False</v>
      </c>
      <c r="P244" s="3">
        <v>35916.92052</v>
      </c>
      <c r="Q244" s="3">
        <v>23950.084455</v>
      </c>
      <c r="R244" s="3">
        <v>3941.2055790000009</v>
      </c>
      <c r="S244" s="3">
        <v>14087.674999999999</v>
      </c>
      <c r="T244" s="3">
        <v>413.66572500000001</v>
      </c>
      <c r="U244">
        <v>1.324395558174652</v>
      </c>
      <c r="V244" s="3">
        <v>51180.50556000002</v>
      </c>
      <c r="W244">
        <v>8.2475274268173848</v>
      </c>
      <c r="X244">
        <v>68.363455500000001</v>
      </c>
      <c r="Y244">
        <v>10.48799619</v>
      </c>
      <c r="Z244" s="5">
        <v>0.13300955106359949</v>
      </c>
      <c r="AA244">
        <v>16.146305030703829</v>
      </c>
      <c r="AB244">
        <v>347.66649999999998</v>
      </c>
      <c r="AC244">
        <v>47.568210000000022</v>
      </c>
      <c r="AD244" s="5">
        <v>0.1203543332517532</v>
      </c>
      <c r="AE244">
        <v>82.113013698630141</v>
      </c>
      <c r="AF244">
        <v>11.234815777042989</v>
      </c>
      <c r="AG244">
        <v>2.477089322153994</v>
      </c>
      <c r="AH244" t="str">
        <f t="shared" si="7"/>
        <v>False</v>
      </c>
      <c r="AI244">
        <v>0</v>
      </c>
    </row>
    <row r="245" spans="1:35" x14ac:dyDescent="0.35">
      <c r="A245" t="s">
        <v>308</v>
      </c>
      <c r="B245" t="s">
        <v>302</v>
      </c>
      <c r="C245" t="s">
        <v>63</v>
      </c>
      <c r="D245" t="s">
        <v>52</v>
      </c>
      <c r="E245" t="s">
        <v>39</v>
      </c>
      <c r="F245" t="s">
        <v>39</v>
      </c>
      <c r="G245" t="s">
        <v>35</v>
      </c>
      <c r="H245" t="s">
        <v>37</v>
      </c>
      <c r="I245" t="s">
        <v>37</v>
      </c>
      <c r="J245" t="s">
        <v>35</v>
      </c>
      <c r="K245" t="s">
        <v>35</v>
      </c>
      <c r="L245" t="s">
        <v>37</v>
      </c>
      <c r="M245" t="s">
        <v>35</v>
      </c>
      <c r="N245" t="s">
        <v>35</v>
      </c>
      <c r="O245" t="str">
        <f t="shared" si="8"/>
        <v>True</v>
      </c>
      <c r="P245" s="3">
        <v>1073428</v>
      </c>
      <c r="Q245" s="3">
        <v>25102.171430999999</v>
      </c>
      <c r="R245" s="3">
        <v>2789.1186030000008</v>
      </c>
      <c r="S245" s="3">
        <v>14210.202025000001</v>
      </c>
      <c r="T245" s="3">
        <v>291.13869999999991</v>
      </c>
      <c r="U245">
        <v>3.1352843413810602E-2</v>
      </c>
      <c r="V245" s="3">
        <v>-1011822.8539399999</v>
      </c>
      <c r="W245">
        <v>348.48647187835257</v>
      </c>
      <c r="X245">
        <v>71.429931909999993</v>
      </c>
      <c r="Y245">
        <v>7.4215197800000112</v>
      </c>
      <c r="Z245" s="5">
        <v>9.4120268187037198E-2</v>
      </c>
      <c r="AA245">
        <v>16.870555481813891</v>
      </c>
      <c r="AB245">
        <v>361.57969000000003</v>
      </c>
      <c r="AC245">
        <v>33.655019999999979</v>
      </c>
      <c r="AD245" s="5">
        <v>8.5151984753565696E-2</v>
      </c>
      <c r="AE245">
        <v>85.399076523382149</v>
      </c>
      <c r="AF245">
        <v>7.9487529522909739</v>
      </c>
      <c r="AG245">
        <v>1.7528388710439311</v>
      </c>
      <c r="AH245" t="str">
        <f t="shared" si="7"/>
        <v>True</v>
      </c>
      <c r="AI245">
        <v>11</v>
      </c>
    </row>
    <row r="246" spans="1:35" x14ac:dyDescent="0.35">
      <c r="A246" t="s">
        <v>309</v>
      </c>
      <c r="B246" t="s">
        <v>302</v>
      </c>
      <c r="C246" t="s">
        <v>63</v>
      </c>
      <c r="D246" t="s">
        <v>52</v>
      </c>
      <c r="E246" t="s">
        <v>52</v>
      </c>
      <c r="F246" t="s">
        <v>52</v>
      </c>
      <c r="G246" t="s">
        <v>35</v>
      </c>
      <c r="H246" t="s">
        <v>37</v>
      </c>
      <c r="I246" t="s">
        <v>35</v>
      </c>
      <c r="J246" t="s">
        <v>35</v>
      </c>
      <c r="K246" t="s">
        <v>35</v>
      </c>
      <c r="L246" t="s">
        <v>37</v>
      </c>
      <c r="M246" t="s">
        <v>35</v>
      </c>
      <c r="N246" t="s">
        <v>37</v>
      </c>
      <c r="O246" t="str">
        <f t="shared" si="8"/>
        <v>True</v>
      </c>
      <c r="P246" s="3">
        <v>573223.78451999999</v>
      </c>
      <c r="Q246" s="3">
        <v>7750.9119672000006</v>
      </c>
      <c r="R246" s="3">
        <v>20140.3780668</v>
      </c>
      <c r="S246" s="3">
        <v>12398.59575</v>
      </c>
      <c r="T246" s="3">
        <v>2102.7449749999992</v>
      </c>
      <c r="U246">
        <v>0.42396504918843042</v>
      </c>
      <c r="V246" s="3">
        <v>-128361.3236840001</v>
      </c>
      <c r="W246">
        <v>25.77083188555758</v>
      </c>
      <c r="X246">
        <v>25.260084620000001</v>
      </c>
      <c r="Y246">
        <v>53.591367069999997</v>
      </c>
      <c r="Z246" s="5">
        <v>0.67964972009255342</v>
      </c>
      <c r="AA246">
        <v>5.9660095937647606</v>
      </c>
      <c r="AB246">
        <v>152.20786000000001</v>
      </c>
      <c r="AC246">
        <v>243.02685</v>
      </c>
      <c r="AD246" s="5">
        <v>0.61489247743448439</v>
      </c>
      <c r="AE246">
        <v>35.948951346244691</v>
      </c>
      <c r="AF246">
        <v>57.398878129428439</v>
      </c>
      <c r="AG246">
        <v>12.657384759093061</v>
      </c>
      <c r="AH246" t="str">
        <f t="shared" si="7"/>
        <v>False</v>
      </c>
      <c r="AI246">
        <v>11</v>
      </c>
    </row>
    <row r="247" spans="1:35" x14ac:dyDescent="0.35">
      <c r="A247" t="s">
        <v>310</v>
      </c>
      <c r="B247" t="s">
        <v>302</v>
      </c>
      <c r="C247" t="s">
        <v>63</v>
      </c>
      <c r="D247" t="s">
        <v>52</v>
      </c>
      <c r="E247" t="s">
        <v>52</v>
      </c>
      <c r="F247" t="s">
        <v>52</v>
      </c>
      <c r="G247" t="s">
        <v>35</v>
      </c>
      <c r="H247" t="s">
        <v>37</v>
      </c>
      <c r="I247" t="s">
        <v>37</v>
      </c>
      <c r="J247" t="s">
        <v>35</v>
      </c>
      <c r="K247" t="s">
        <v>35</v>
      </c>
      <c r="L247" t="s">
        <v>37</v>
      </c>
      <c r="M247" t="s">
        <v>35</v>
      </c>
      <c r="N247" t="s">
        <v>37</v>
      </c>
      <c r="O247" t="str">
        <f t="shared" si="8"/>
        <v>True</v>
      </c>
      <c r="P247" s="3">
        <v>1092664.51</v>
      </c>
      <c r="Q247" s="3">
        <v>16733.792915999999</v>
      </c>
      <c r="R247" s="3">
        <v>11157.497117999999</v>
      </c>
      <c r="S247" s="3">
        <v>13334.88795</v>
      </c>
      <c r="T247" s="3">
        <v>1166.4527749999979</v>
      </c>
      <c r="U247">
        <v>0.12322308335977709</v>
      </c>
      <c r="V247" s="3">
        <v>-846185.51214000001</v>
      </c>
      <c r="W247">
        <v>88.661875412251831</v>
      </c>
      <c r="X247">
        <v>49.16193478000001</v>
      </c>
      <c r="Y247">
        <v>29.689516909999991</v>
      </c>
      <c r="Z247" s="5">
        <v>0.37652467105770793</v>
      </c>
      <c r="AA247">
        <v>11.611226920170051</v>
      </c>
      <c r="AB247">
        <v>260.59321999999997</v>
      </c>
      <c r="AC247">
        <v>134.64149</v>
      </c>
      <c r="AD247" s="5">
        <v>0.34066210935775348</v>
      </c>
      <c r="AE247">
        <v>61.547760982522448</v>
      </c>
      <c r="AF247">
        <v>31.800068493150679</v>
      </c>
      <c r="AG247">
        <v>7.0121674326877654</v>
      </c>
      <c r="AH247" t="str">
        <f t="shared" si="7"/>
        <v>True</v>
      </c>
      <c r="AI247">
        <v>11</v>
      </c>
    </row>
    <row r="248" spans="1:35" x14ac:dyDescent="0.35">
      <c r="A248" t="s">
        <v>311</v>
      </c>
      <c r="B248" t="s">
        <v>302</v>
      </c>
      <c r="C248" t="s">
        <v>63</v>
      </c>
      <c r="D248" t="s">
        <v>52</v>
      </c>
      <c r="E248" t="s">
        <v>52</v>
      </c>
      <c r="F248" t="s">
        <v>52</v>
      </c>
      <c r="G248" t="s">
        <v>35</v>
      </c>
      <c r="H248" t="s">
        <v>37</v>
      </c>
      <c r="I248" t="s">
        <v>37</v>
      </c>
      <c r="J248" t="s">
        <v>35</v>
      </c>
      <c r="K248" t="s">
        <v>35</v>
      </c>
      <c r="L248" t="s">
        <v>37</v>
      </c>
      <c r="M248" t="s">
        <v>37</v>
      </c>
      <c r="N248" t="s">
        <v>37</v>
      </c>
      <c r="O248" t="str">
        <f t="shared" si="8"/>
        <v>True</v>
      </c>
      <c r="P248" s="3">
        <v>1439943.47</v>
      </c>
      <c r="Q248" s="3">
        <v>7750.8634319999992</v>
      </c>
      <c r="R248" s="3">
        <v>20140.426602</v>
      </c>
      <c r="S248" s="3">
        <v>12398.5918</v>
      </c>
      <c r="T248" s="3">
        <v>2102.7489249999999</v>
      </c>
      <c r="U248">
        <v>0.16877567422837789</v>
      </c>
      <c r="V248" s="3">
        <v>-995079.95946000004</v>
      </c>
      <c r="W248">
        <v>64.736416266288799</v>
      </c>
      <c r="X248">
        <v>25.259955919999999</v>
      </c>
      <c r="Y248">
        <v>53.591495770000009</v>
      </c>
      <c r="Z248" s="5">
        <v>0.6796513522755665</v>
      </c>
      <c r="AA248">
        <v>5.9659791969768543</v>
      </c>
      <c r="AB248">
        <v>152.20728</v>
      </c>
      <c r="AC248">
        <v>243.02743000000001</v>
      </c>
      <c r="AD248" s="5">
        <v>0.61489394491693306</v>
      </c>
      <c r="AE248">
        <v>35.948814359943313</v>
      </c>
      <c r="AF248">
        <v>57.39901511572981</v>
      </c>
      <c r="AG248">
        <v>12.657415155880971</v>
      </c>
      <c r="AH248" t="str">
        <f t="shared" si="7"/>
        <v>True</v>
      </c>
      <c r="AI248">
        <v>11</v>
      </c>
    </row>
    <row r="249" spans="1:35" x14ac:dyDescent="0.35">
      <c r="A249" t="s">
        <v>312</v>
      </c>
      <c r="B249" t="s">
        <v>313</v>
      </c>
      <c r="C249" t="s">
        <v>63</v>
      </c>
      <c r="D249" t="s">
        <v>39</v>
      </c>
      <c r="E249" t="s">
        <v>39</v>
      </c>
      <c r="F249" t="s">
        <v>39</v>
      </c>
      <c r="G249" t="s">
        <v>35</v>
      </c>
      <c r="H249" t="s">
        <v>35</v>
      </c>
      <c r="I249" t="s">
        <v>35</v>
      </c>
      <c r="J249" t="s">
        <v>35</v>
      </c>
      <c r="K249" t="s">
        <v>35</v>
      </c>
      <c r="L249" t="s">
        <v>35</v>
      </c>
      <c r="M249" t="s">
        <v>35</v>
      </c>
      <c r="N249" t="s">
        <v>35</v>
      </c>
      <c r="O249" t="str">
        <f t="shared" si="8"/>
        <v>False</v>
      </c>
      <c r="P249" s="3">
        <v>0</v>
      </c>
      <c r="Q249" s="3">
        <v>33514.500303000001</v>
      </c>
      <c r="R249" s="3">
        <v>0</v>
      </c>
      <c r="S249" s="3">
        <v>20624.648499999999</v>
      </c>
      <c r="T249" s="3">
        <v>0</v>
      </c>
      <c r="U249">
        <v>0</v>
      </c>
      <c r="V249" s="3">
        <v>0</v>
      </c>
      <c r="W249">
        <v>0</v>
      </c>
      <c r="X249">
        <v>96.028693700000005</v>
      </c>
      <c r="Y249">
        <v>0</v>
      </c>
      <c r="Z249" s="5">
        <v>0</v>
      </c>
      <c r="AA249">
        <v>17.619943798165139</v>
      </c>
      <c r="AB249">
        <v>491.11950000000002</v>
      </c>
      <c r="AC249">
        <v>0</v>
      </c>
      <c r="AD249" s="5">
        <v>0</v>
      </c>
      <c r="AE249">
        <v>90.113669724770645</v>
      </c>
      <c r="AF249">
        <v>0</v>
      </c>
      <c r="AG249">
        <v>0</v>
      </c>
      <c r="AH249" t="str">
        <f t="shared" si="7"/>
        <v>False</v>
      </c>
      <c r="AI249">
        <v>0</v>
      </c>
    </row>
    <row r="250" spans="1:35" x14ac:dyDescent="0.35">
      <c r="A250" t="s">
        <v>314</v>
      </c>
      <c r="B250" t="s">
        <v>313</v>
      </c>
      <c r="C250" t="s">
        <v>63</v>
      </c>
      <c r="D250" t="s">
        <v>52</v>
      </c>
      <c r="E250" t="s">
        <v>52</v>
      </c>
      <c r="F250" t="s">
        <v>52</v>
      </c>
      <c r="G250" t="s">
        <v>37</v>
      </c>
      <c r="H250" t="s">
        <v>35</v>
      </c>
      <c r="I250" t="s">
        <v>35</v>
      </c>
      <c r="J250" t="s">
        <v>35</v>
      </c>
      <c r="K250" t="s">
        <v>35</v>
      </c>
      <c r="L250" t="s">
        <v>35</v>
      </c>
      <c r="M250" t="s">
        <v>35</v>
      </c>
      <c r="N250" t="s">
        <v>35</v>
      </c>
      <c r="O250" t="str">
        <f t="shared" si="8"/>
        <v>False</v>
      </c>
      <c r="P250" s="3">
        <v>182108.7</v>
      </c>
      <c r="Q250" s="3">
        <v>22740.30126</v>
      </c>
      <c r="R250" s="3">
        <v>10774.199043000001</v>
      </c>
      <c r="S250" s="3">
        <v>19600.261425000001</v>
      </c>
      <c r="T250" s="3">
        <v>1024.3870750000019</v>
      </c>
      <c r="U250">
        <v>0.71111193479498802</v>
      </c>
      <c r="V250" s="3">
        <v>53863.022360000061</v>
      </c>
      <c r="W250">
        <v>15.434790082361969</v>
      </c>
      <c r="X250">
        <v>67.399910570000003</v>
      </c>
      <c r="Y250">
        <v>28.628783129999999</v>
      </c>
      <c r="Z250" s="5">
        <v>0.29812738283661572</v>
      </c>
      <c r="AA250">
        <v>12.366956067889911</v>
      </c>
      <c r="AB250">
        <v>361.61982999999998</v>
      </c>
      <c r="AC250">
        <v>129.49967000000001</v>
      </c>
      <c r="AD250" s="5">
        <v>0.2636826067790019</v>
      </c>
      <c r="AE250">
        <v>66.352262385321097</v>
      </c>
      <c r="AF250">
        <v>23.761407339449551</v>
      </c>
      <c r="AG250">
        <v>5.2529877302752297</v>
      </c>
      <c r="AH250" t="str">
        <f t="shared" si="7"/>
        <v>True</v>
      </c>
      <c r="AI250">
        <v>13</v>
      </c>
    </row>
    <row r="251" spans="1:35" x14ac:dyDescent="0.35">
      <c r="A251" t="s">
        <v>315</v>
      </c>
      <c r="B251" t="s">
        <v>313</v>
      </c>
      <c r="C251" t="s">
        <v>63</v>
      </c>
      <c r="D251" t="s">
        <v>39</v>
      </c>
      <c r="E251" t="s">
        <v>39</v>
      </c>
      <c r="F251" t="s">
        <v>39</v>
      </c>
      <c r="G251" t="s">
        <v>35</v>
      </c>
      <c r="H251" t="s">
        <v>35</v>
      </c>
      <c r="I251" t="s">
        <v>35</v>
      </c>
      <c r="J251" t="s">
        <v>35</v>
      </c>
      <c r="K251" t="s">
        <v>37</v>
      </c>
      <c r="L251" t="s">
        <v>35</v>
      </c>
      <c r="M251" t="s">
        <v>35</v>
      </c>
      <c r="N251" t="s">
        <v>35</v>
      </c>
      <c r="O251" t="str">
        <f t="shared" si="8"/>
        <v>False</v>
      </c>
      <c r="P251" s="3">
        <v>29575.200000000001</v>
      </c>
      <c r="Q251" s="3">
        <v>31895.990054999998</v>
      </c>
      <c r="R251" s="3">
        <v>1618.5102479999989</v>
      </c>
      <c r="S251" s="3">
        <v>20472.316750000002</v>
      </c>
      <c r="T251" s="3">
        <v>152.33174999999929</v>
      </c>
      <c r="U251">
        <v>0.65750020287267663</v>
      </c>
      <c r="V251" s="3">
        <v>5841.639959999975</v>
      </c>
      <c r="W251">
        <v>16.701207692951961</v>
      </c>
      <c r="X251">
        <v>91.728672200000005</v>
      </c>
      <c r="Y251">
        <v>4.3000214999999997</v>
      </c>
      <c r="Z251" s="5">
        <v>4.4778506655870499E-2</v>
      </c>
      <c r="AA251">
        <v>16.830949027522941</v>
      </c>
      <c r="AB251">
        <v>471.67380000000003</v>
      </c>
      <c r="AC251">
        <v>19.445699999999992</v>
      </c>
      <c r="AD251" s="5">
        <v>3.9594640408291602E-2</v>
      </c>
      <c r="AE251">
        <v>86.545651376146793</v>
      </c>
      <c r="AF251">
        <v>3.568018348623851</v>
      </c>
      <c r="AG251">
        <v>0.78899477064220136</v>
      </c>
      <c r="AH251" t="str">
        <f t="shared" si="7"/>
        <v>False</v>
      </c>
      <c r="AI251">
        <v>5</v>
      </c>
    </row>
    <row r="252" spans="1:35" x14ac:dyDescent="0.35">
      <c r="A252" t="s">
        <v>316</v>
      </c>
      <c r="B252" t="s">
        <v>313</v>
      </c>
      <c r="C252" t="s">
        <v>63</v>
      </c>
      <c r="D252" t="s">
        <v>52</v>
      </c>
      <c r="E252" t="s">
        <v>52</v>
      </c>
      <c r="F252" t="s">
        <v>52</v>
      </c>
      <c r="G252" t="s">
        <v>35</v>
      </c>
      <c r="H252" t="s">
        <v>35</v>
      </c>
      <c r="I252" t="s">
        <v>35</v>
      </c>
      <c r="J252" t="s">
        <v>35</v>
      </c>
      <c r="K252" t="s">
        <v>35</v>
      </c>
      <c r="L252" t="s">
        <v>37</v>
      </c>
      <c r="M252" t="s">
        <v>35</v>
      </c>
      <c r="N252" t="s">
        <v>35</v>
      </c>
      <c r="O252" t="str">
        <f t="shared" si="8"/>
        <v>False</v>
      </c>
      <c r="P252" s="3">
        <v>212568</v>
      </c>
      <c r="Q252" s="3">
        <v>21203.494821</v>
      </c>
      <c r="R252" s="3">
        <v>12311.005482</v>
      </c>
      <c r="S252" s="3">
        <v>19458.94425</v>
      </c>
      <c r="T252" s="3">
        <v>1165.7042499999991</v>
      </c>
      <c r="U252">
        <v>0.69599798652666445</v>
      </c>
      <c r="V252" s="3">
        <v>56966.194640000002</v>
      </c>
      <c r="W252">
        <v>15.77298941857183</v>
      </c>
      <c r="X252">
        <v>63.3182878</v>
      </c>
      <c r="Y252">
        <v>32.710405899999998</v>
      </c>
      <c r="Z252" s="5">
        <v>0.3406315824954308</v>
      </c>
      <c r="AA252">
        <v>11.6180344587156</v>
      </c>
      <c r="AB252">
        <v>343.17259999999999</v>
      </c>
      <c r="AC252">
        <v>147.9469</v>
      </c>
      <c r="AD252" s="5">
        <v>0.30124419820430681</v>
      </c>
      <c r="AE252">
        <v>62.967449541284402</v>
      </c>
      <c r="AF252">
        <v>27.146220183486239</v>
      </c>
      <c r="AG252">
        <v>6.0019093394495417</v>
      </c>
      <c r="AH252" t="str">
        <f t="shared" si="7"/>
        <v>False</v>
      </c>
      <c r="AI252">
        <v>8</v>
      </c>
    </row>
    <row r="253" spans="1:35" x14ac:dyDescent="0.35">
      <c r="A253" t="s">
        <v>317</v>
      </c>
      <c r="B253" t="s">
        <v>313</v>
      </c>
      <c r="C253" t="s">
        <v>63</v>
      </c>
      <c r="D253" t="s">
        <v>52</v>
      </c>
      <c r="E253" t="s">
        <v>52</v>
      </c>
      <c r="F253" t="s">
        <v>52</v>
      </c>
      <c r="G253" t="s">
        <v>35</v>
      </c>
      <c r="H253" t="s">
        <v>35</v>
      </c>
      <c r="I253" t="s">
        <v>37</v>
      </c>
      <c r="J253" t="s">
        <v>35</v>
      </c>
      <c r="K253" t="s">
        <v>35</v>
      </c>
      <c r="L253" t="s">
        <v>35</v>
      </c>
      <c r="M253" t="s">
        <v>35</v>
      </c>
      <c r="N253" t="s">
        <v>35</v>
      </c>
      <c r="O253" t="str">
        <f t="shared" si="8"/>
        <v>False</v>
      </c>
      <c r="P253" s="3">
        <v>979000</v>
      </c>
      <c r="Q253" s="3">
        <v>19952.829387000002</v>
      </c>
      <c r="R253" s="3">
        <v>13561.670915999999</v>
      </c>
      <c r="S253" s="3">
        <v>19336.478449999999</v>
      </c>
      <c r="T253" s="3">
        <v>1288.1700499999999</v>
      </c>
      <c r="U253">
        <v>0.166493544433095</v>
      </c>
      <c r="V253" s="3">
        <v>-682003.18067999999</v>
      </c>
      <c r="W253">
        <v>65.926631957978913</v>
      </c>
      <c r="X253">
        <v>59.993646079999998</v>
      </c>
      <c r="Y253">
        <v>36.03504762</v>
      </c>
      <c r="Z253" s="5">
        <v>0.37525291901372598</v>
      </c>
      <c r="AA253">
        <v>11.00800845504587</v>
      </c>
      <c r="AB253">
        <v>328.12232</v>
      </c>
      <c r="AC253">
        <v>162.99717999999999</v>
      </c>
      <c r="AD253" s="5">
        <v>0.33188904126185181</v>
      </c>
      <c r="AE253">
        <v>60.205930275229363</v>
      </c>
      <c r="AF253">
        <v>29.907739449541289</v>
      </c>
      <c r="AG253">
        <v>6.6119353431192653</v>
      </c>
      <c r="AH253" t="str">
        <f t="shared" si="7"/>
        <v>True</v>
      </c>
      <c r="AI253">
        <v>5</v>
      </c>
    </row>
    <row r="254" spans="1:35" x14ac:dyDescent="0.35">
      <c r="A254" t="s">
        <v>318</v>
      </c>
      <c r="B254" t="s">
        <v>313</v>
      </c>
      <c r="C254" t="s">
        <v>63</v>
      </c>
      <c r="D254" t="s">
        <v>39</v>
      </c>
      <c r="E254" t="s">
        <v>39</v>
      </c>
      <c r="F254" t="s">
        <v>39</v>
      </c>
      <c r="G254" t="s">
        <v>35</v>
      </c>
      <c r="H254" t="s">
        <v>35</v>
      </c>
      <c r="I254" t="s">
        <v>35</v>
      </c>
      <c r="J254" t="s">
        <v>35</v>
      </c>
      <c r="K254" t="s">
        <v>35</v>
      </c>
      <c r="L254" t="s">
        <v>35</v>
      </c>
      <c r="M254" t="s">
        <v>35</v>
      </c>
      <c r="N254" t="s">
        <v>37</v>
      </c>
      <c r="O254" t="str">
        <f t="shared" si="8"/>
        <v>False</v>
      </c>
      <c r="P254" s="3">
        <v>24981.442075999999</v>
      </c>
      <c r="Q254" s="3">
        <v>32493.189689999999</v>
      </c>
      <c r="R254" s="3">
        <v>1021.310613000001</v>
      </c>
      <c r="S254" s="3">
        <v>20624.648499999999</v>
      </c>
      <c r="T254" s="3">
        <v>0</v>
      </c>
      <c r="U254">
        <v>0.47170615547934941</v>
      </c>
      <c r="V254" s="3">
        <v>-4555.22981599997</v>
      </c>
      <c r="W254">
        <v>24.460180632627939</v>
      </c>
      <c r="X254">
        <v>93.353748400000001</v>
      </c>
      <c r="Y254">
        <v>2.674945300000005</v>
      </c>
      <c r="Z254" s="5">
        <v>2.78556876797336E-2</v>
      </c>
      <c r="AA254">
        <v>17.12912814678899</v>
      </c>
      <c r="AB254">
        <v>479.3356</v>
      </c>
      <c r="AC254">
        <v>11.78390000000002</v>
      </c>
      <c r="AD254" s="5">
        <v>2.3993956664314899E-2</v>
      </c>
      <c r="AE254">
        <v>87.951486238532112</v>
      </c>
      <c r="AF254">
        <v>2.162183486238535</v>
      </c>
      <c r="AG254">
        <v>0.49081565137614902</v>
      </c>
      <c r="AH254" t="str">
        <f t="shared" si="7"/>
        <v>False</v>
      </c>
      <c r="AI254">
        <v>0</v>
      </c>
    </row>
    <row r="255" spans="1:35" x14ac:dyDescent="0.35">
      <c r="A255" t="s">
        <v>319</v>
      </c>
      <c r="B255" t="s">
        <v>313</v>
      </c>
      <c r="C255" t="s">
        <v>63</v>
      </c>
      <c r="D255" t="s">
        <v>52</v>
      </c>
      <c r="E255" t="s">
        <v>52</v>
      </c>
      <c r="F255" t="s">
        <v>52</v>
      </c>
      <c r="G255" t="s">
        <v>35</v>
      </c>
      <c r="H255" t="s">
        <v>35</v>
      </c>
      <c r="I255" t="s">
        <v>35</v>
      </c>
      <c r="J255" t="s">
        <v>35</v>
      </c>
      <c r="K255" t="s">
        <v>35</v>
      </c>
      <c r="L255" t="s">
        <v>35</v>
      </c>
      <c r="M255" t="s">
        <v>37</v>
      </c>
      <c r="N255" t="s">
        <v>35</v>
      </c>
      <c r="O255" t="str">
        <f t="shared" si="8"/>
        <v>False</v>
      </c>
      <c r="P255" s="3">
        <v>522900</v>
      </c>
      <c r="Q255" s="3">
        <v>27461.866184999999</v>
      </c>
      <c r="R255" s="3">
        <v>6052.6341179999999</v>
      </c>
      <c r="S255" s="3">
        <v>23282.978749999998</v>
      </c>
      <c r="T255" s="3">
        <v>-2658.3302499999982</v>
      </c>
      <c r="U255">
        <v>0.1078131573914706</v>
      </c>
      <c r="V255" s="3">
        <v>-455013.92263999989</v>
      </c>
      <c r="W255">
        <v>154.05220638307321</v>
      </c>
      <c r="X255">
        <v>81.23939</v>
      </c>
      <c r="Y255">
        <v>14.7893037</v>
      </c>
      <c r="Z255" s="5">
        <v>0.15400921464372691</v>
      </c>
      <c r="AA255">
        <v>14.906310091743119</v>
      </c>
      <c r="AB255">
        <v>434.74400000000003</v>
      </c>
      <c r="AC255">
        <v>56.375499999999988</v>
      </c>
      <c r="AD255" s="5">
        <v>0.1147897813057718</v>
      </c>
      <c r="AE255">
        <v>79.769541284403672</v>
      </c>
      <c r="AF255">
        <v>10.344128440366971</v>
      </c>
      <c r="AG255">
        <v>2.7136337064220188</v>
      </c>
      <c r="AH255" t="str">
        <f t="shared" si="7"/>
        <v>False</v>
      </c>
      <c r="AI255">
        <v>8</v>
      </c>
    </row>
    <row r="256" spans="1:35" x14ac:dyDescent="0.35">
      <c r="A256" t="s">
        <v>320</v>
      </c>
      <c r="B256" t="s">
        <v>313</v>
      </c>
      <c r="C256" t="s">
        <v>63</v>
      </c>
      <c r="D256" t="s">
        <v>52</v>
      </c>
      <c r="E256" t="s">
        <v>52</v>
      </c>
      <c r="F256" t="s">
        <v>52</v>
      </c>
      <c r="G256" t="s">
        <v>37</v>
      </c>
      <c r="H256" t="s">
        <v>35</v>
      </c>
      <c r="I256" t="s">
        <v>35</v>
      </c>
      <c r="J256" t="s">
        <v>35</v>
      </c>
      <c r="K256" t="s">
        <v>35</v>
      </c>
      <c r="L256" t="s">
        <v>37</v>
      </c>
      <c r="M256" t="s">
        <v>35</v>
      </c>
      <c r="N256" t="s">
        <v>35</v>
      </c>
      <c r="O256" t="str">
        <f t="shared" si="8"/>
        <v>True</v>
      </c>
      <c r="P256" s="3">
        <v>394676.7</v>
      </c>
      <c r="Q256" s="3">
        <v>11928.764781</v>
      </c>
      <c r="R256" s="3">
        <v>21585.735521999999</v>
      </c>
      <c r="S256" s="3">
        <v>18577.667649999999</v>
      </c>
      <c r="T256" s="3">
        <v>2046.980850000002</v>
      </c>
      <c r="U256">
        <v>0.65730016491979382</v>
      </c>
      <c r="V256" s="3">
        <v>77977.627440000011</v>
      </c>
      <c r="W256">
        <v>16.700437384659349</v>
      </c>
      <c r="X256">
        <v>38.67405316</v>
      </c>
      <c r="Y256">
        <v>57.354640540000013</v>
      </c>
      <c r="Z256" s="5">
        <v>0.59726565394276521</v>
      </c>
      <c r="AA256">
        <v>7.0961565431192666</v>
      </c>
      <c r="AB256">
        <v>231.69844000000001</v>
      </c>
      <c r="AC256">
        <v>259.42106000000001</v>
      </c>
      <c r="AD256" s="5">
        <v>0.52822390477266734</v>
      </c>
      <c r="AE256">
        <v>42.513475229357802</v>
      </c>
      <c r="AF256">
        <v>47.600194495412843</v>
      </c>
      <c r="AG256">
        <v>10.523787255045869</v>
      </c>
      <c r="AH256" t="str">
        <f t="shared" si="7"/>
        <v>True</v>
      </c>
      <c r="AI256">
        <v>13</v>
      </c>
    </row>
    <row r="257" spans="1:35" x14ac:dyDescent="0.35">
      <c r="A257" t="s">
        <v>321</v>
      </c>
      <c r="B257" t="s">
        <v>313</v>
      </c>
      <c r="C257" t="s">
        <v>63</v>
      </c>
      <c r="D257" t="s">
        <v>52</v>
      </c>
      <c r="E257" t="s">
        <v>52</v>
      </c>
      <c r="F257" t="s">
        <v>52</v>
      </c>
      <c r="G257" t="s">
        <v>37</v>
      </c>
      <c r="H257" t="s">
        <v>35</v>
      </c>
      <c r="I257" t="s">
        <v>35</v>
      </c>
      <c r="J257" t="s">
        <v>35</v>
      </c>
      <c r="K257" t="s">
        <v>37</v>
      </c>
      <c r="L257" t="s">
        <v>37</v>
      </c>
      <c r="M257" t="s">
        <v>35</v>
      </c>
      <c r="N257" t="s">
        <v>35</v>
      </c>
      <c r="O257" t="str">
        <f t="shared" si="8"/>
        <v>True</v>
      </c>
      <c r="P257" s="3">
        <v>424251.9</v>
      </c>
      <c r="Q257" s="3">
        <v>10888.274097</v>
      </c>
      <c r="R257" s="3">
        <v>22626.226205999999</v>
      </c>
      <c r="S257" s="3">
        <v>18479.944650000001</v>
      </c>
      <c r="T257" s="3">
        <v>2144.7038500000008</v>
      </c>
      <c r="U257">
        <v>0.64094246837786695</v>
      </c>
      <c r="V257" s="3">
        <v>71166.701119999983</v>
      </c>
      <c r="W257">
        <v>17.127007304162081</v>
      </c>
      <c r="X257">
        <v>35.909783560000001</v>
      </c>
      <c r="Y257">
        <v>60.118910139999997</v>
      </c>
      <c r="Z257" s="5">
        <v>0.62605152505578654</v>
      </c>
      <c r="AA257">
        <v>6.5889511119266064</v>
      </c>
      <c r="AB257">
        <v>219.19844000000001</v>
      </c>
      <c r="AC257">
        <v>271.92106000000001</v>
      </c>
      <c r="AD257" s="5">
        <v>0.5536759587025154</v>
      </c>
      <c r="AE257">
        <v>40.21989724770642</v>
      </c>
      <c r="AF257">
        <v>49.893772477064218</v>
      </c>
      <c r="AG257">
        <v>11.03099268623853</v>
      </c>
      <c r="AH257" t="str">
        <f t="shared" si="7"/>
        <v>True</v>
      </c>
      <c r="AI257">
        <v>13</v>
      </c>
    </row>
    <row r="258" spans="1:35" x14ac:dyDescent="0.35">
      <c r="A258" t="s">
        <v>322</v>
      </c>
      <c r="B258" t="s">
        <v>313</v>
      </c>
      <c r="C258" t="s">
        <v>63</v>
      </c>
      <c r="D258" t="s">
        <v>52</v>
      </c>
      <c r="E258" t="s">
        <v>52</v>
      </c>
      <c r="F258" t="s">
        <v>52</v>
      </c>
      <c r="G258" t="s">
        <v>35</v>
      </c>
      <c r="H258" t="s">
        <v>35</v>
      </c>
      <c r="I258" t="s">
        <v>35</v>
      </c>
      <c r="J258" t="s">
        <v>35</v>
      </c>
      <c r="K258" t="s">
        <v>35</v>
      </c>
      <c r="L258" t="s">
        <v>35</v>
      </c>
      <c r="M258" t="s">
        <v>37</v>
      </c>
      <c r="N258" t="s">
        <v>37</v>
      </c>
      <c r="O258" t="str">
        <f t="shared" si="8"/>
        <v>True</v>
      </c>
      <c r="P258" s="3">
        <v>544273.80000000005</v>
      </c>
      <c r="Q258" s="3">
        <v>26550.947151</v>
      </c>
      <c r="R258" s="3">
        <v>6963.5531519999986</v>
      </c>
      <c r="S258" s="3">
        <v>23282.978749999998</v>
      </c>
      <c r="T258" s="3">
        <v>-2658.3302499999982</v>
      </c>
      <c r="U258">
        <v>0.1228898028896486</v>
      </c>
      <c r="V258" s="3">
        <v>-458169.34195999999</v>
      </c>
      <c r="W258">
        <v>126.4217468849653</v>
      </c>
      <c r="X258">
        <v>78.853574600000002</v>
      </c>
      <c r="Y258">
        <v>17.1751191</v>
      </c>
      <c r="Z258" s="5">
        <v>0.1788540324588421</v>
      </c>
      <c r="AA258">
        <v>14.46854579816514</v>
      </c>
      <c r="AB258">
        <v>424.23379999999997</v>
      </c>
      <c r="AC258">
        <v>66.885700000000043</v>
      </c>
      <c r="AD258" s="5">
        <v>0.13619027548285101</v>
      </c>
      <c r="AE258">
        <v>77.841064220183483</v>
      </c>
      <c r="AF258">
        <v>12.27260550458716</v>
      </c>
      <c r="AG258">
        <v>3.1513979999999999</v>
      </c>
      <c r="AH258" t="str">
        <f t="shared" si="7"/>
        <v>False</v>
      </c>
      <c r="AI258">
        <v>8</v>
      </c>
    </row>
    <row r="259" spans="1:35" x14ac:dyDescent="0.35">
      <c r="A259" t="s">
        <v>323</v>
      </c>
      <c r="B259" t="s">
        <v>313</v>
      </c>
      <c r="C259" t="s">
        <v>63</v>
      </c>
      <c r="D259" t="s">
        <v>77</v>
      </c>
      <c r="E259" t="s">
        <v>77</v>
      </c>
      <c r="F259" t="s">
        <v>77</v>
      </c>
      <c r="G259" t="s">
        <v>35</v>
      </c>
      <c r="H259" t="s">
        <v>37</v>
      </c>
      <c r="I259" t="s">
        <v>37</v>
      </c>
      <c r="J259" t="s">
        <v>35</v>
      </c>
      <c r="K259" t="s">
        <v>35</v>
      </c>
      <c r="L259" t="s">
        <v>35</v>
      </c>
      <c r="M259" t="s">
        <v>37</v>
      </c>
      <c r="N259" t="s">
        <v>35</v>
      </c>
      <c r="O259" t="str">
        <f t="shared" si="8"/>
        <v>True</v>
      </c>
      <c r="P259" s="3">
        <v>1938960.808</v>
      </c>
      <c r="Q259" s="3">
        <v>1549.7445365999999</v>
      </c>
      <c r="R259" s="3">
        <v>31964.755766400001</v>
      </c>
      <c r="S259" s="3">
        <v>20830.34475</v>
      </c>
      <c r="T259" s="3">
        <v>-205.69624999999979</v>
      </c>
      <c r="U259">
        <v>0.1896729518629858</v>
      </c>
      <c r="V259" s="3">
        <v>-1303779.6176720001</v>
      </c>
      <c r="W259">
        <v>61.052211165092707</v>
      </c>
      <c r="X259">
        <v>12.39112036</v>
      </c>
      <c r="Y259">
        <v>83.637573340000003</v>
      </c>
      <c r="Z259" s="5">
        <v>0.87096439738407061</v>
      </c>
      <c r="AA259">
        <v>2.2736000660550459</v>
      </c>
      <c r="AB259">
        <v>123.35108</v>
      </c>
      <c r="AC259">
        <v>367.76841999999999</v>
      </c>
      <c r="AD259" s="5">
        <v>0.74883693276280006</v>
      </c>
      <c r="AE259">
        <v>22.633225688073399</v>
      </c>
      <c r="AF259">
        <v>67.48044403669725</v>
      </c>
      <c r="AG259">
        <v>15.346343732110091</v>
      </c>
      <c r="AH259" t="str">
        <f t="shared" ref="AH259:AH322" si="9">IF(OR(G259="True",I259="True",J259="True"),"True","False")</f>
        <v>True</v>
      </c>
      <c r="AI259">
        <v>9</v>
      </c>
    </row>
    <row r="260" spans="1:35" x14ac:dyDescent="0.35">
      <c r="A260" t="s">
        <v>324</v>
      </c>
      <c r="B260" t="s">
        <v>313</v>
      </c>
      <c r="C260" t="s">
        <v>63</v>
      </c>
      <c r="D260" t="s">
        <v>52</v>
      </c>
      <c r="E260" t="s">
        <v>52</v>
      </c>
      <c r="F260" t="s">
        <v>52</v>
      </c>
      <c r="G260" t="s">
        <v>35</v>
      </c>
      <c r="H260" t="s">
        <v>37</v>
      </c>
      <c r="I260" t="s">
        <v>35</v>
      </c>
      <c r="J260" t="s">
        <v>35</v>
      </c>
      <c r="K260" t="s">
        <v>35</v>
      </c>
      <c r="L260" t="s">
        <v>35</v>
      </c>
      <c r="M260" t="s">
        <v>35</v>
      </c>
      <c r="N260" t="s">
        <v>35</v>
      </c>
      <c r="O260" t="str">
        <f t="shared" si="8"/>
        <v>False</v>
      </c>
      <c r="P260" s="3">
        <v>437060.8</v>
      </c>
      <c r="Q260" s="3">
        <v>22740.474600000001</v>
      </c>
      <c r="R260" s="3">
        <v>10774.025702999999</v>
      </c>
      <c r="S260" s="3">
        <v>19599.900000000001</v>
      </c>
      <c r="T260" s="3">
        <v>1024.748500000002</v>
      </c>
      <c r="U260">
        <v>0.29629630477041191</v>
      </c>
      <c r="V260" s="3">
        <v>-201085.31593999991</v>
      </c>
      <c r="W260">
        <v>37.042898904605799</v>
      </c>
      <c r="X260">
        <v>67.400220000000004</v>
      </c>
      <c r="Y260">
        <v>28.628473700000001</v>
      </c>
      <c r="Z260" s="5">
        <v>0.29812416057056079</v>
      </c>
      <c r="AA260">
        <v>12.367012844036701</v>
      </c>
      <c r="AB260">
        <v>361.62</v>
      </c>
      <c r="AC260">
        <v>129.49950000000001</v>
      </c>
      <c r="AD260" s="5">
        <v>0.26368226063106842</v>
      </c>
      <c r="AE260">
        <v>66.352293577981655</v>
      </c>
      <c r="AF260">
        <v>23.76137614678899</v>
      </c>
      <c r="AG260">
        <v>5.2529309541284412</v>
      </c>
      <c r="AH260" t="str">
        <f t="shared" si="9"/>
        <v>False</v>
      </c>
      <c r="AI260">
        <v>9</v>
      </c>
    </row>
    <row r="261" spans="1:35" x14ac:dyDescent="0.35">
      <c r="A261" t="s">
        <v>325</v>
      </c>
      <c r="B261" t="s">
        <v>313</v>
      </c>
      <c r="C261" t="s">
        <v>63</v>
      </c>
      <c r="D261" t="s">
        <v>52</v>
      </c>
      <c r="E261" t="s">
        <v>52</v>
      </c>
      <c r="F261" t="s">
        <v>52</v>
      </c>
      <c r="G261" t="s">
        <v>35</v>
      </c>
      <c r="H261" t="s">
        <v>37</v>
      </c>
      <c r="I261" t="s">
        <v>37</v>
      </c>
      <c r="J261" t="s">
        <v>35</v>
      </c>
      <c r="K261" t="s">
        <v>35</v>
      </c>
      <c r="L261" t="s">
        <v>35</v>
      </c>
      <c r="M261" t="s">
        <v>35</v>
      </c>
      <c r="N261" t="s">
        <v>35</v>
      </c>
      <c r="O261" t="str">
        <f t="shared" ref="O261:O324" si="10">IF(COUNTIF(G261:N261,"True")&gt;1, "True", "False")</f>
        <v>True</v>
      </c>
      <c r="P261" s="3">
        <v>1416061</v>
      </c>
      <c r="Q261" s="3">
        <v>11094.626700000001</v>
      </c>
      <c r="R261" s="3">
        <v>22419.873603</v>
      </c>
      <c r="S261" s="3">
        <v>18493.900000000001</v>
      </c>
      <c r="T261" s="3">
        <v>2130.7485000000011</v>
      </c>
      <c r="U261">
        <v>0.19029512146722499</v>
      </c>
      <c r="V261" s="3">
        <v>-925048.55793999997</v>
      </c>
      <c r="W261">
        <v>57.679230858551733</v>
      </c>
      <c r="X261">
        <v>36.455829999999999</v>
      </c>
      <c r="Y261">
        <v>59.572863700000013</v>
      </c>
      <c r="Z261" s="5">
        <v>0.62036524089465983</v>
      </c>
      <c r="AA261">
        <v>6.6891431192660553</v>
      </c>
      <c r="AB261">
        <v>221.65</v>
      </c>
      <c r="AC261">
        <v>269.46949999999998</v>
      </c>
      <c r="AD261" s="5">
        <v>0.54868417971593475</v>
      </c>
      <c r="AE261">
        <v>40.669724770642198</v>
      </c>
      <c r="AF261">
        <v>49.443944954128447</v>
      </c>
      <c r="AG261">
        <v>10.930800678899081</v>
      </c>
      <c r="AH261" t="str">
        <f t="shared" si="9"/>
        <v>True</v>
      </c>
      <c r="AI261">
        <v>9</v>
      </c>
    </row>
    <row r="262" spans="1:35" x14ac:dyDescent="0.35">
      <c r="A262" t="s">
        <v>326</v>
      </c>
      <c r="B262" t="s">
        <v>313</v>
      </c>
      <c r="C262" t="s">
        <v>63</v>
      </c>
      <c r="D262" t="s">
        <v>77</v>
      </c>
      <c r="E262" t="s">
        <v>77</v>
      </c>
      <c r="F262" t="s">
        <v>77</v>
      </c>
      <c r="G262" t="s">
        <v>35</v>
      </c>
      <c r="H262" t="s">
        <v>37</v>
      </c>
      <c r="I262" t="s">
        <v>35</v>
      </c>
      <c r="J262" t="s">
        <v>35</v>
      </c>
      <c r="K262" t="s">
        <v>35</v>
      </c>
      <c r="L262" t="s">
        <v>37</v>
      </c>
      <c r="M262" t="s">
        <v>35</v>
      </c>
      <c r="N262" t="s">
        <v>35</v>
      </c>
      <c r="O262" t="str">
        <f t="shared" si="10"/>
        <v>True</v>
      </c>
      <c r="P262" s="3">
        <v>649628.80000000005</v>
      </c>
      <c r="Q262" s="3">
        <v>3458.1329999999998</v>
      </c>
      <c r="R262" s="3">
        <v>30056.367302999999</v>
      </c>
      <c r="S262" s="3">
        <v>17775</v>
      </c>
      <c r="T262" s="3">
        <v>2849.6485000000011</v>
      </c>
      <c r="U262">
        <v>0.55603984921850758</v>
      </c>
      <c r="V262" s="3">
        <v>8491.5160600000527</v>
      </c>
      <c r="W262">
        <v>19.741946393302779</v>
      </c>
      <c r="X262">
        <v>16.167300000000001</v>
      </c>
      <c r="Y262">
        <v>79.861393700000008</v>
      </c>
      <c r="Z262" s="5">
        <v>0.8316409462935348</v>
      </c>
      <c r="AA262">
        <v>2.9664770642201841</v>
      </c>
      <c r="AB262">
        <v>129.9</v>
      </c>
      <c r="AC262">
        <v>361.21949999999998</v>
      </c>
      <c r="AD262" s="5">
        <v>0.73550225556101934</v>
      </c>
      <c r="AE262">
        <v>23.834862385321099</v>
      </c>
      <c r="AF262">
        <v>66.278807339449557</v>
      </c>
      <c r="AG262">
        <v>14.653466733944949</v>
      </c>
      <c r="AH262" t="str">
        <f t="shared" si="9"/>
        <v>False</v>
      </c>
      <c r="AI262">
        <v>9</v>
      </c>
    </row>
    <row r="263" spans="1:35" x14ac:dyDescent="0.35">
      <c r="A263" t="s">
        <v>327</v>
      </c>
      <c r="B263" t="s">
        <v>328</v>
      </c>
      <c r="C263" t="s">
        <v>63</v>
      </c>
      <c r="D263" t="s">
        <v>39</v>
      </c>
      <c r="E263" t="s">
        <v>39</v>
      </c>
      <c r="F263" t="s">
        <v>39</v>
      </c>
      <c r="G263" t="s">
        <v>35</v>
      </c>
      <c r="H263" t="s">
        <v>35</v>
      </c>
      <c r="I263" t="s">
        <v>35</v>
      </c>
      <c r="J263" t="s">
        <v>35</v>
      </c>
      <c r="K263" t="s">
        <v>35</v>
      </c>
      <c r="L263" t="s">
        <v>35</v>
      </c>
      <c r="M263" t="s">
        <v>35</v>
      </c>
      <c r="N263" t="s">
        <v>35</v>
      </c>
      <c r="O263" t="str">
        <f t="shared" si="10"/>
        <v>False</v>
      </c>
      <c r="P263" s="3">
        <v>0</v>
      </c>
      <c r="Q263" s="3">
        <v>36602.344395</v>
      </c>
      <c r="R263" s="3">
        <v>0</v>
      </c>
      <c r="S263" s="3">
        <v>10032.4154</v>
      </c>
      <c r="T263" s="3">
        <v>0</v>
      </c>
      <c r="U263">
        <v>0</v>
      </c>
      <c r="V263" s="3">
        <v>0</v>
      </c>
      <c r="W263">
        <v>0</v>
      </c>
      <c r="X263">
        <v>99.879265660000002</v>
      </c>
      <c r="Y263">
        <v>0</v>
      </c>
      <c r="Z263" s="5">
        <v>0</v>
      </c>
      <c r="AA263">
        <v>28.73396595512083</v>
      </c>
      <c r="AB263">
        <v>473.11554000000001</v>
      </c>
      <c r="AC263">
        <v>5.6843418860808009E-14</v>
      </c>
      <c r="AD263" s="5">
        <v>1.2014701284343359E-16</v>
      </c>
      <c r="AE263">
        <v>136.1091887226697</v>
      </c>
      <c r="AF263">
        <v>1.6353112445571929E-14</v>
      </c>
      <c r="AG263">
        <v>0</v>
      </c>
      <c r="AH263" t="str">
        <f t="shared" si="9"/>
        <v>False</v>
      </c>
      <c r="AI263">
        <v>0</v>
      </c>
    </row>
    <row r="264" spans="1:35" x14ac:dyDescent="0.35">
      <c r="A264" t="s">
        <v>329</v>
      </c>
      <c r="B264" t="s">
        <v>328</v>
      </c>
      <c r="C264" t="s">
        <v>63</v>
      </c>
      <c r="D264" t="s">
        <v>52</v>
      </c>
      <c r="E264" t="s">
        <v>52</v>
      </c>
      <c r="F264" t="s">
        <v>52</v>
      </c>
      <c r="G264" t="s">
        <v>35</v>
      </c>
      <c r="H264" t="s">
        <v>37</v>
      </c>
      <c r="I264" t="s">
        <v>35</v>
      </c>
      <c r="J264" t="s">
        <v>35</v>
      </c>
      <c r="K264" t="s">
        <v>37</v>
      </c>
      <c r="L264" t="s">
        <v>37</v>
      </c>
      <c r="M264" t="s">
        <v>37</v>
      </c>
      <c r="N264" t="s">
        <v>37</v>
      </c>
      <c r="O264" t="str">
        <f t="shared" si="10"/>
        <v>True</v>
      </c>
      <c r="P264" s="3">
        <v>818360.55200000003</v>
      </c>
      <c r="Q264" s="3">
        <v>8688.2341500000002</v>
      </c>
      <c r="R264" s="3">
        <v>27914.110245</v>
      </c>
      <c r="S264" s="3">
        <v>8728.9075000000012</v>
      </c>
      <c r="T264" s="3">
        <v>1303.5079000000001</v>
      </c>
      <c r="U264">
        <v>0.40162436861937112</v>
      </c>
      <c r="V264" s="3">
        <v>-234008.18910000011</v>
      </c>
      <c r="W264">
        <v>28.009146670980289</v>
      </c>
      <c r="X264">
        <v>26.247178000000002</v>
      </c>
      <c r="Y264">
        <v>73.632087659999996</v>
      </c>
      <c r="Z264" s="5">
        <v>0.73721094336688175</v>
      </c>
      <c r="AA264">
        <v>7.5509718066743394</v>
      </c>
      <c r="AB264">
        <v>144.44200000000001</v>
      </c>
      <c r="AC264">
        <v>328.67354</v>
      </c>
      <c r="AD264" s="5">
        <v>0.69470036853999761</v>
      </c>
      <c r="AE264">
        <v>41.554085155350982</v>
      </c>
      <c r="AF264">
        <v>94.555103567318767</v>
      </c>
      <c r="AG264">
        <v>21.18299414844649</v>
      </c>
      <c r="AH264" t="str">
        <f t="shared" si="9"/>
        <v>False</v>
      </c>
      <c r="AI264">
        <v>7</v>
      </c>
    </row>
    <row r="265" spans="1:35" x14ac:dyDescent="0.35">
      <c r="A265" t="s">
        <v>330</v>
      </c>
      <c r="B265" t="s">
        <v>328</v>
      </c>
      <c r="C265" t="s">
        <v>63</v>
      </c>
      <c r="D265" t="s">
        <v>52</v>
      </c>
      <c r="E265" t="s">
        <v>52</v>
      </c>
      <c r="F265" t="s">
        <v>52</v>
      </c>
      <c r="G265" t="s">
        <v>35</v>
      </c>
      <c r="H265" t="s">
        <v>37</v>
      </c>
      <c r="I265" t="s">
        <v>35</v>
      </c>
      <c r="J265" t="s">
        <v>35</v>
      </c>
      <c r="K265" t="s">
        <v>37</v>
      </c>
      <c r="L265" t="s">
        <v>37</v>
      </c>
      <c r="M265" t="s">
        <v>37</v>
      </c>
      <c r="N265" t="s">
        <v>35</v>
      </c>
      <c r="O265" t="str">
        <f t="shared" si="10"/>
        <v>True</v>
      </c>
      <c r="P265" s="3">
        <v>803860.55200000003</v>
      </c>
      <c r="Q265" s="3">
        <v>9653.5819439999996</v>
      </c>
      <c r="R265" s="3">
        <v>26948.762450999999</v>
      </c>
      <c r="S265" s="3">
        <v>8822.2618000000002</v>
      </c>
      <c r="T265" s="3">
        <v>1210.153600000001</v>
      </c>
      <c r="U265">
        <v>0.39442495245120568</v>
      </c>
      <c r="V265" s="3">
        <v>-240682.23097999999</v>
      </c>
      <c r="W265">
        <v>28.54728323150254</v>
      </c>
      <c r="X265">
        <v>28.81289112</v>
      </c>
      <c r="Y265">
        <v>71.066374539999998</v>
      </c>
      <c r="Z265" s="5">
        <v>0.71152279775381755</v>
      </c>
      <c r="AA265">
        <v>8.2890941081703104</v>
      </c>
      <c r="AB265">
        <v>156.05287999999999</v>
      </c>
      <c r="AC265">
        <v>317.06265999999999</v>
      </c>
      <c r="AD265" s="5">
        <v>0.67015904825277983</v>
      </c>
      <c r="AE265">
        <v>44.894384349827391</v>
      </c>
      <c r="AF265">
        <v>91.214804372842337</v>
      </c>
      <c r="AG265">
        <v>20.44487184695052</v>
      </c>
      <c r="AH265" t="str">
        <f t="shared" si="9"/>
        <v>False</v>
      </c>
      <c r="AI265">
        <v>7</v>
      </c>
    </row>
    <row r="266" spans="1:35" x14ac:dyDescent="0.35">
      <c r="A266" t="s">
        <v>331</v>
      </c>
      <c r="B266" t="s">
        <v>332</v>
      </c>
      <c r="C266" t="s">
        <v>63</v>
      </c>
      <c r="D266" t="s">
        <v>39</v>
      </c>
      <c r="E266" t="s">
        <v>39</v>
      </c>
      <c r="F266" t="s">
        <v>39</v>
      </c>
      <c r="G266" t="s">
        <v>35</v>
      </c>
      <c r="H266" t="s">
        <v>35</v>
      </c>
      <c r="I266" t="s">
        <v>35</v>
      </c>
      <c r="J266" t="s">
        <v>35</v>
      </c>
      <c r="K266" t="s">
        <v>35</v>
      </c>
      <c r="L266" t="s">
        <v>35</v>
      </c>
      <c r="M266" t="s">
        <v>35</v>
      </c>
      <c r="N266" t="s">
        <v>35</v>
      </c>
      <c r="O266" t="str">
        <f t="shared" si="10"/>
        <v>False</v>
      </c>
      <c r="P266" s="3">
        <v>0</v>
      </c>
      <c r="Q266" s="3">
        <v>35398.099413000004</v>
      </c>
      <c r="R266" s="3">
        <v>0</v>
      </c>
      <c r="S266" s="3">
        <v>14478.764499999999</v>
      </c>
      <c r="T266" s="3">
        <v>0</v>
      </c>
      <c r="U266">
        <v>0</v>
      </c>
      <c r="V266" s="3">
        <v>0</v>
      </c>
      <c r="W266">
        <v>0</v>
      </c>
      <c r="X266">
        <v>98.503731099999996</v>
      </c>
      <c r="Y266">
        <v>0</v>
      </c>
      <c r="Z266" s="5">
        <v>0</v>
      </c>
      <c r="AA266">
        <v>25.225027170294489</v>
      </c>
      <c r="AB266">
        <v>481.73410000000001</v>
      </c>
      <c r="AC266">
        <v>0</v>
      </c>
      <c r="AD266" s="5">
        <v>0</v>
      </c>
      <c r="AE266">
        <v>123.3634058898848</v>
      </c>
      <c r="AF266">
        <v>0</v>
      </c>
      <c r="AG266">
        <v>-3.5527136788005009E-15</v>
      </c>
      <c r="AH266" t="str">
        <f t="shared" si="9"/>
        <v>False</v>
      </c>
      <c r="AI266">
        <v>0</v>
      </c>
    </row>
    <row r="267" spans="1:35" x14ac:dyDescent="0.35">
      <c r="A267" t="s">
        <v>333</v>
      </c>
      <c r="B267" t="s">
        <v>332</v>
      </c>
      <c r="C267" t="s">
        <v>63</v>
      </c>
      <c r="D267" t="s">
        <v>52</v>
      </c>
      <c r="E267" t="s">
        <v>52</v>
      </c>
      <c r="F267" t="s">
        <v>52</v>
      </c>
      <c r="G267" t="s">
        <v>35</v>
      </c>
      <c r="H267" t="s">
        <v>37</v>
      </c>
      <c r="I267" t="s">
        <v>35</v>
      </c>
      <c r="J267" t="s">
        <v>35</v>
      </c>
      <c r="K267" t="s">
        <v>37</v>
      </c>
      <c r="L267" t="s">
        <v>37</v>
      </c>
      <c r="M267" t="s">
        <v>35</v>
      </c>
      <c r="N267" t="s">
        <v>35</v>
      </c>
      <c r="O267" t="str">
        <f t="shared" si="10"/>
        <v>True</v>
      </c>
      <c r="P267" s="3">
        <v>573049.86800000002</v>
      </c>
      <c r="Q267" s="3">
        <v>7849.5398270999985</v>
      </c>
      <c r="R267" s="3">
        <v>27548.559585899999</v>
      </c>
      <c r="S267" s="3">
        <v>13586.9493</v>
      </c>
      <c r="T267" s="3">
        <v>891.81519999999898</v>
      </c>
      <c r="U267">
        <v>0.56255364149215725</v>
      </c>
      <c r="V267" s="3">
        <v>-4242.3722820000257</v>
      </c>
      <c r="W267">
        <v>20.149167242483148</v>
      </c>
      <c r="X267">
        <v>25.993745229999998</v>
      </c>
      <c r="Y267">
        <v>72.509985869999994</v>
      </c>
      <c r="Z267" s="5">
        <v>0.73611410512347586</v>
      </c>
      <c r="AA267">
        <v>6.6565288681177979</v>
      </c>
      <c r="AB267">
        <v>159.36281</v>
      </c>
      <c r="AC267">
        <v>322.37128999999999</v>
      </c>
      <c r="AD267" s="5">
        <v>0.66918926851970839</v>
      </c>
      <c r="AE267">
        <v>40.809938540332908</v>
      </c>
      <c r="AF267">
        <v>82.553467349551866</v>
      </c>
      <c r="AG267">
        <v>18.568498302176689</v>
      </c>
      <c r="AH267" t="str">
        <f t="shared" si="9"/>
        <v>False</v>
      </c>
      <c r="AI267">
        <v>7</v>
      </c>
    </row>
    <row r="268" spans="1:35" x14ac:dyDescent="0.35">
      <c r="A268" t="s">
        <v>334</v>
      </c>
      <c r="B268" t="s">
        <v>332</v>
      </c>
      <c r="C268" t="s">
        <v>63</v>
      </c>
      <c r="D268" t="s">
        <v>52</v>
      </c>
      <c r="E268" t="s">
        <v>52</v>
      </c>
      <c r="F268" t="s">
        <v>52</v>
      </c>
      <c r="G268" t="s">
        <v>35</v>
      </c>
      <c r="H268" t="s">
        <v>37</v>
      </c>
      <c r="I268" t="s">
        <v>35</v>
      </c>
      <c r="J268" t="s">
        <v>35</v>
      </c>
      <c r="K268" t="s">
        <v>35</v>
      </c>
      <c r="L268" t="s">
        <v>37</v>
      </c>
      <c r="M268" t="s">
        <v>35</v>
      </c>
      <c r="N268" t="s">
        <v>35</v>
      </c>
      <c r="O268" t="str">
        <f t="shared" si="10"/>
        <v>True</v>
      </c>
      <c r="P268" s="3">
        <v>516032.26799999998</v>
      </c>
      <c r="Q268" s="3">
        <v>10959.369498</v>
      </c>
      <c r="R268" s="3">
        <v>24438.729915</v>
      </c>
      <c r="S268" s="3">
        <v>13912.917125</v>
      </c>
      <c r="T268" s="3">
        <v>565.84737499999937</v>
      </c>
      <c r="U268">
        <v>0.55198011377071499</v>
      </c>
      <c r="V268" s="3">
        <v>-15940.72219999996</v>
      </c>
      <c r="W268">
        <v>20.637512164877709</v>
      </c>
      <c r="X268">
        <v>34.269180650000003</v>
      </c>
      <c r="Y268">
        <v>64.23455045</v>
      </c>
      <c r="Z268" s="5">
        <v>0.6521027146148376</v>
      </c>
      <c r="AA268">
        <v>8.7757184763124201</v>
      </c>
      <c r="AB268">
        <v>196.89455000000001</v>
      </c>
      <c r="AC268">
        <v>284.83954999999997</v>
      </c>
      <c r="AD268" s="5">
        <v>0.59127960839807692</v>
      </c>
      <c r="AE268">
        <v>50.421139564660692</v>
      </c>
      <c r="AF268">
        <v>72.942266325224082</v>
      </c>
      <c r="AG268">
        <v>16.449308693982069</v>
      </c>
      <c r="AH268" t="str">
        <f t="shared" si="9"/>
        <v>False</v>
      </c>
      <c r="AI268">
        <v>7</v>
      </c>
    </row>
    <row r="269" spans="1:35" x14ac:dyDescent="0.35">
      <c r="A269" t="s">
        <v>335</v>
      </c>
      <c r="B269" t="s">
        <v>336</v>
      </c>
      <c r="C269" t="s">
        <v>63</v>
      </c>
      <c r="D269" t="s">
        <v>39</v>
      </c>
      <c r="E269" t="s">
        <v>39</v>
      </c>
      <c r="F269" t="s">
        <v>39</v>
      </c>
      <c r="G269" t="s">
        <v>35</v>
      </c>
      <c r="H269" t="s">
        <v>35</v>
      </c>
      <c r="I269" t="s">
        <v>35</v>
      </c>
      <c r="J269" t="s">
        <v>35</v>
      </c>
      <c r="K269" t="s">
        <v>35</v>
      </c>
      <c r="L269" t="s">
        <v>35</v>
      </c>
      <c r="M269" t="s">
        <v>35</v>
      </c>
      <c r="N269" t="s">
        <v>35</v>
      </c>
      <c r="O269" t="str">
        <f t="shared" si="10"/>
        <v>False</v>
      </c>
      <c r="P269" s="3">
        <v>0</v>
      </c>
      <c r="Q269" s="3">
        <v>21367.699803</v>
      </c>
      <c r="R269" s="3">
        <v>0</v>
      </c>
      <c r="S269" s="3">
        <v>3472.8481980000001</v>
      </c>
      <c r="T269" s="3">
        <v>0</v>
      </c>
      <c r="U269">
        <v>0</v>
      </c>
      <c r="V269" s="3">
        <v>0</v>
      </c>
      <c r="W269">
        <v>0</v>
      </c>
      <c r="X269">
        <v>57.123867560000001</v>
      </c>
      <c r="Y269">
        <v>0</v>
      </c>
      <c r="Z269" s="5">
        <v>0</v>
      </c>
      <c r="AA269">
        <v>22.794839409417399</v>
      </c>
      <c r="AB269">
        <v>261.21284000000003</v>
      </c>
      <c r="AC269">
        <v>5.6843418860808009E-14</v>
      </c>
      <c r="AD269" s="5">
        <v>2.176134177049184E-16</v>
      </c>
      <c r="AE269">
        <v>104.2349720670391</v>
      </c>
      <c r="AF269">
        <v>2.2682928515885081E-14</v>
      </c>
      <c r="AG269">
        <v>0</v>
      </c>
      <c r="AH269" t="str">
        <f t="shared" si="9"/>
        <v>False</v>
      </c>
      <c r="AI269">
        <v>0</v>
      </c>
    </row>
    <row r="270" spans="1:35" x14ac:dyDescent="0.35">
      <c r="A270" t="s">
        <v>337</v>
      </c>
      <c r="B270" t="s">
        <v>336</v>
      </c>
      <c r="C270" t="s">
        <v>63</v>
      </c>
      <c r="D270" t="s">
        <v>52</v>
      </c>
      <c r="E270" t="s">
        <v>52</v>
      </c>
      <c r="F270" t="s">
        <v>52</v>
      </c>
      <c r="G270" t="s">
        <v>37</v>
      </c>
      <c r="H270" t="s">
        <v>35</v>
      </c>
      <c r="I270" t="s">
        <v>35</v>
      </c>
      <c r="J270" t="s">
        <v>35</v>
      </c>
      <c r="K270" t="s">
        <v>35</v>
      </c>
      <c r="L270" t="s">
        <v>35</v>
      </c>
      <c r="M270" t="s">
        <v>35</v>
      </c>
      <c r="N270" t="s">
        <v>35</v>
      </c>
      <c r="O270" t="str">
        <f t="shared" si="10"/>
        <v>False</v>
      </c>
      <c r="P270" s="3">
        <v>110906.3</v>
      </c>
      <c r="Q270" s="3">
        <v>13815.908694</v>
      </c>
      <c r="R270" s="3">
        <v>7551.7911089999998</v>
      </c>
      <c r="S270" s="3">
        <v>2633.9573610000002</v>
      </c>
      <c r="T270" s="3">
        <v>838.89083699999992</v>
      </c>
      <c r="U270">
        <v>0.81759836907371397</v>
      </c>
      <c r="V270" s="3">
        <v>56907.338919999987</v>
      </c>
      <c r="W270">
        <v>13.21779334668634</v>
      </c>
      <c r="X270">
        <v>37.064759969999997</v>
      </c>
      <c r="Y270">
        <v>20.05910759</v>
      </c>
      <c r="Z270" s="5">
        <v>0.3511510765431094</v>
      </c>
      <c r="AA270">
        <v>14.79040701117318</v>
      </c>
      <c r="AB270">
        <v>170.53603000000001</v>
      </c>
      <c r="AC270">
        <v>90.676810000000046</v>
      </c>
      <c r="AD270" s="5">
        <v>0.34713764453539131</v>
      </c>
      <c r="AE270">
        <v>68.051089385474853</v>
      </c>
      <c r="AF270">
        <v>36.183882681564263</v>
      </c>
      <c r="AG270">
        <v>8.0044323982442158</v>
      </c>
      <c r="AH270" t="str">
        <f t="shared" si="9"/>
        <v>True</v>
      </c>
      <c r="AI270">
        <v>8</v>
      </c>
    </row>
    <row r="271" spans="1:35" x14ac:dyDescent="0.35">
      <c r="A271" t="s">
        <v>338</v>
      </c>
      <c r="B271" t="s">
        <v>336</v>
      </c>
      <c r="C271" t="s">
        <v>63</v>
      </c>
      <c r="D271" t="s">
        <v>52</v>
      </c>
      <c r="E271" t="s">
        <v>52</v>
      </c>
      <c r="F271" t="s">
        <v>52</v>
      </c>
      <c r="G271" t="s">
        <v>35</v>
      </c>
      <c r="H271" t="s">
        <v>35</v>
      </c>
      <c r="I271" t="s">
        <v>35</v>
      </c>
      <c r="J271" t="s">
        <v>35</v>
      </c>
      <c r="K271" t="s">
        <v>35</v>
      </c>
      <c r="L271" t="s">
        <v>37</v>
      </c>
      <c r="M271" t="s">
        <v>35</v>
      </c>
      <c r="N271" t="s">
        <v>35</v>
      </c>
      <c r="O271" t="str">
        <f t="shared" si="10"/>
        <v>False</v>
      </c>
      <c r="P271" s="3">
        <v>185480.88</v>
      </c>
      <c r="Q271" s="3">
        <v>10614.492233999999</v>
      </c>
      <c r="R271" s="3">
        <v>10753.207569</v>
      </c>
      <c r="S271" s="3">
        <v>2278.8403748999999</v>
      </c>
      <c r="T271" s="3">
        <v>1194.0078231</v>
      </c>
      <c r="U271">
        <v>0.69610998718574135</v>
      </c>
      <c r="V271" s="3">
        <v>53463.427841999983</v>
      </c>
      <c r="W271">
        <v>15.525030219397211</v>
      </c>
      <c r="X271">
        <v>28.561311613000001</v>
      </c>
      <c r="Y271">
        <v>28.562555947</v>
      </c>
      <c r="Z271" s="5">
        <v>0.50001089154195211</v>
      </c>
      <c r="AA271">
        <v>11.397171433758979</v>
      </c>
      <c r="AB271">
        <v>132.097747</v>
      </c>
      <c r="AC271">
        <v>129.115093</v>
      </c>
      <c r="AD271" s="5">
        <v>0.49429075921382742</v>
      </c>
      <c r="AE271">
        <v>52.712588587390258</v>
      </c>
      <c r="AF271">
        <v>51.522383479648859</v>
      </c>
      <c r="AG271">
        <v>11.39766797565842</v>
      </c>
      <c r="AH271" t="str">
        <f t="shared" si="9"/>
        <v>False</v>
      </c>
      <c r="AI271">
        <v>7</v>
      </c>
    </row>
    <row r="272" spans="1:35" x14ac:dyDescent="0.35">
      <c r="A272" t="s">
        <v>339</v>
      </c>
      <c r="B272" t="s">
        <v>336</v>
      </c>
      <c r="C272" t="s">
        <v>63</v>
      </c>
      <c r="D272" t="s">
        <v>52</v>
      </c>
      <c r="E272" t="s">
        <v>39</v>
      </c>
      <c r="F272" t="s">
        <v>39</v>
      </c>
      <c r="G272" t="s">
        <v>35</v>
      </c>
      <c r="H272" t="s">
        <v>35</v>
      </c>
      <c r="I272" t="s">
        <v>37</v>
      </c>
      <c r="J272" t="s">
        <v>35</v>
      </c>
      <c r="K272" t="s">
        <v>35</v>
      </c>
      <c r="L272" t="s">
        <v>35</v>
      </c>
      <c r="M272" t="s">
        <v>35</v>
      </c>
      <c r="N272" t="s">
        <v>35</v>
      </c>
      <c r="O272" t="str">
        <f t="shared" si="10"/>
        <v>False</v>
      </c>
      <c r="P272" s="3">
        <v>542208.69999999995</v>
      </c>
      <c r="Q272" s="3">
        <v>17840.872160999999</v>
      </c>
      <c r="R272" s="3">
        <v>3526.8276420000002</v>
      </c>
      <c r="S272" s="3">
        <v>3081.3961049999998</v>
      </c>
      <c r="T272" s="3">
        <v>391.45209299999982</v>
      </c>
      <c r="U272">
        <v>7.8099798103571594E-2</v>
      </c>
      <c r="V272" s="3">
        <v>-463843.10529999988</v>
      </c>
      <c r="W272">
        <v>138.37927270907321</v>
      </c>
      <c r="X272">
        <v>47.755997950000001</v>
      </c>
      <c r="Y272">
        <v>9.3678696099999996</v>
      </c>
      <c r="Z272" s="5">
        <v>0.1639922156909363</v>
      </c>
      <c r="AA272">
        <v>19.056663188347969</v>
      </c>
      <c r="AB272">
        <v>218.86644999999999</v>
      </c>
      <c r="AC272">
        <v>42.346390000000042</v>
      </c>
      <c r="AD272" s="5">
        <v>0.16211450401902161</v>
      </c>
      <c r="AE272">
        <v>87.3369712689545</v>
      </c>
      <c r="AF272">
        <v>16.89800079808461</v>
      </c>
      <c r="AG272">
        <v>3.738176221069434</v>
      </c>
      <c r="AH272" t="str">
        <f t="shared" si="9"/>
        <v>True</v>
      </c>
      <c r="AI272">
        <v>3</v>
      </c>
    </row>
    <row r="273" spans="1:35" x14ac:dyDescent="0.35">
      <c r="A273" t="s">
        <v>340</v>
      </c>
      <c r="B273" t="s">
        <v>336</v>
      </c>
      <c r="C273" t="s">
        <v>63</v>
      </c>
      <c r="D273" t="s">
        <v>52</v>
      </c>
      <c r="E273" t="s">
        <v>39</v>
      </c>
      <c r="F273" t="s">
        <v>39</v>
      </c>
      <c r="G273" t="s">
        <v>35</v>
      </c>
      <c r="H273" t="s">
        <v>35</v>
      </c>
      <c r="I273" t="s">
        <v>35</v>
      </c>
      <c r="J273" t="s">
        <v>35</v>
      </c>
      <c r="K273" t="s">
        <v>35</v>
      </c>
      <c r="L273" t="s">
        <v>35</v>
      </c>
      <c r="M273" t="s">
        <v>37</v>
      </c>
      <c r="N273" t="s">
        <v>35</v>
      </c>
      <c r="O273" t="str">
        <f t="shared" si="10"/>
        <v>False</v>
      </c>
      <c r="P273" s="3">
        <v>303050</v>
      </c>
      <c r="Q273" s="3">
        <v>18379.292202000001</v>
      </c>
      <c r="R273" s="3">
        <v>2988.4076009999999</v>
      </c>
      <c r="S273" s="3">
        <v>4921.1989290000001</v>
      </c>
      <c r="T273" s="3">
        <v>-1448.350731</v>
      </c>
      <c r="U273">
        <v>9.3586437881537698E-2</v>
      </c>
      <c r="V273" s="3">
        <v>-272248.86259999999</v>
      </c>
      <c r="W273">
        <v>196.7784475387588</v>
      </c>
      <c r="X273">
        <v>49.780234929999999</v>
      </c>
      <c r="Y273">
        <v>7.3436326300000019</v>
      </c>
      <c r="Z273" s="5">
        <v>0.12855629255646289</v>
      </c>
      <c r="AA273">
        <v>19.86441936552275</v>
      </c>
      <c r="AB273">
        <v>232.85147000000001</v>
      </c>
      <c r="AC273">
        <v>28.361370000000019</v>
      </c>
      <c r="AD273" s="5">
        <v>0.1085757116686914</v>
      </c>
      <c r="AE273">
        <v>92.91758579409418</v>
      </c>
      <c r="AF273">
        <v>11.31738627294494</v>
      </c>
      <c r="AG273">
        <v>2.930420043894653</v>
      </c>
      <c r="AH273" t="str">
        <f t="shared" si="9"/>
        <v>False</v>
      </c>
      <c r="AI273">
        <v>4</v>
      </c>
    </row>
    <row r="274" spans="1:35" x14ac:dyDescent="0.35">
      <c r="A274" t="s">
        <v>341</v>
      </c>
      <c r="B274" t="s">
        <v>336</v>
      </c>
      <c r="C274" t="s">
        <v>63</v>
      </c>
      <c r="D274" t="s">
        <v>77</v>
      </c>
      <c r="E274" t="s">
        <v>77</v>
      </c>
      <c r="F274" t="s">
        <v>77</v>
      </c>
      <c r="G274" t="s">
        <v>37</v>
      </c>
      <c r="H274" t="s">
        <v>35</v>
      </c>
      <c r="I274" t="s">
        <v>35</v>
      </c>
      <c r="J274" t="s">
        <v>35</v>
      </c>
      <c r="K274" t="s">
        <v>35</v>
      </c>
      <c r="L274" t="s">
        <v>37</v>
      </c>
      <c r="M274" t="s">
        <v>35</v>
      </c>
      <c r="N274" t="s">
        <v>35</v>
      </c>
      <c r="O274" t="str">
        <f t="shared" si="10"/>
        <v>True</v>
      </c>
      <c r="P274" s="3">
        <v>296387</v>
      </c>
      <c r="Q274" s="3">
        <v>4322.6497826999994</v>
      </c>
      <c r="R274" s="3">
        <v>17045.050020300001</v>
      </c>
      <c r="S274" s="3">
        <v>1582.6254336</v>
      </c>
      <c r="T274" s="3">
        <v>1890.2227644</v>
      </c>
      <c r="U274">
        <v>0.69048852345075873</v>
      </c>
      <c r="V274" s="3">
        <v>82318.455694000062</v>
      </c>
      <c r="W274">
        <v>15.65263956690845</v>
      </c>
      <c r="X274">
        <v>11.849792302000001</v>
      </c>
      <c r="Y274">
        <v>45.274075258000003</v>
      </c>
      <c r="Z274" s="5">
        <v>0.79255969863116182</v>
      </c>
      <c r="AA274">
        <v>4.728568356743815</v>
      </c>
      <c r="AB274">
        <v>56.561017999999997</v>
      </c>
      <c r="AC274">
        <v>204.65182200000001</v>
      </c>
      <c r="AD274" s="5">
        <v>0.78346769630466873</v>
      </c>
      <c r="AE274">
        <v>22.57023862729449</v>
      </c>
      <c r="AF274">
        <v>81.664733439744637</v>
      </c>
      <c r="AG274">
        <v>18.066271052673589</v>
      </c>
      <c r="AH274" t="str">
        <f t="shared" si="9"/>
        <v>True</v>
      </c>
      <c r="AI274">
        <v>8</v>
      </c>
    </row>
    <row r="275" spans="1:35" x14ac:dyDescent="0.35">
      <c r="A275" t="s">
        <v>342</v>
      </c>
      <c r="B275" t="s">
        <v>336</v>
      </c>
      <c r="C275" t="s">
        <v>63</v>
      </c>
      <c r="D275" t="s">
        <v>52</v>
      </c>
      <c r="E275" t="s">
        <v>39</v>
      </c>
      <c r="F275" t="s">
        <v>39</v>
      </c>
      <c r="G275" t="s">
        <v>35</v>
      </c>
      <c r="H275" t="s">
        <v>35</v>
      </c>
      <c r="I275" t="s">
        <v>37</v>
      </c>
      <c r="J275" t="s">
        <v>35</v>
      </c>
      <c r="K275" t="s">
        <v>35</v>
      </c>
      <c r="L275" t="s">
        <v>35</v>
      </c>
      <c r="M275" t="s">
        <v>35</v>
      </c>
      <c r="N275" t="s">
        <v>37</v>
      </c>
      <c r="O275" t="str">
        <f t="shared" si="10"/>
        <v>True</v>
      </c>
      <c r="P275" s="3">
        <v>564993.17979999993</v>
      </c>
      <c r="Q275" s="3">
        <v>15881.23746</v>
      </c>
      <c r="R275" s="3">
        <v>5486.4623429999992</v>
      </c>
      <c r="S275" s="3">
        <v>3081.3913710000002</v>
      </c>
      <c r="T275" s="3">
        <v>391.45682699999998</v>
      </c>
      <c r="U275">
        <v>0.1149690161268741</v>
      </c>
      <c r="V275" s="3">
        <v>-447434.79639999988</v>
      </c>
      <c r="W275">
        <v>96.12129113371256</v>
      </c>
      <c r="X275">
        <v>42.623458270000008</v>
      </c>
      <c r="Y275">
        <v>14.50040928999999</v>
      </c>
      <c r="Z275" s="5">
        <v>0.25384151860462711</v>
      </c>
      <c r="AA275">
        <v>17.00856275738229</v>
      </c>
      <c r="AB275">
        <v>196.25613000000001</v>
      </c>
      <c r="AC275">
        <v>64.956710000000044</v>
      </c>
      <c r="AD275" s="5">
        <v>0.2486734955295461</v>
      </c>
      <c r="AE275">
        <v>78.314497206703905</v>
      </c>
      <c r="AF275">
        <v>25.920474860335212</v>
      </c>
      <c r="AG275">
        <v>5.786276652035113</v>
      </c>
      <c r="AH275" t="str">
        <f t="shared" si="9"/>
        <v>True</v>
      </c>
      <c r="AI275">
        <v>3</v>
      </c>
    </row>
    <row r="276" spans="1:35" x14ac:dyDescent="0.35">
      <c r="A276" t="s">
        <v>343</v>
      </c>
      <c r="B276" t="s">
        <v>336</v>
      </c>
      <c r="C276" t="s">
        <v>63</v>
      </c>
      <c r="D276" t="s">
        <v>77</v>
      </c>
      <c r="E276" t="s">
        <v>77</v>
      </c>
      <c r="F276" t="s">
        <v>77</v>
      </c>
      <c r="G276" t="s">
        <v>37</v>
      </c>
      <c r="H276" t="s">
        <v>35</v>
      </c>
      <c r="I276" t="s">
        <v>35</v>
      </c>
      <c r="J276" t="s">
        <v>35</v>
      </c>
      <c r="K276" t="s">
        <v>35</v>
      </c>
      <c r="L276" t="s">
        <v>37</v>
      </c>
      <c r="M276" t="s">
        <v>35</v>
      </c>
      <c r="N276" t="s">
        <v>37</v>
      </c>
      <c r="O276" t="str">
        <f t="shared" si="10"/>
        <v>True</v>
      </c>
      <c r="P276" s="3">
        <v>307702</v>
      </c>
      <c r="Q276" s="3">
        <v>3845.9387817000002</v>
      </c>
      <c r="R276" s="3">
        <v>17521.761021300001</v>
      </c>
      <c r="S276" s="3">
        <v>1582.6337180999999</v>
      </c>
      <c r="T276" s="3">
        <v>1890.2144799</v>
      </c>
      <c r="U276">
        <v>0.68297276910777316</v>
      </c>
      <c r="V276" s="3">
        <v>80537.510023999901</v>
      </c>
      <c r="W276">
        <v>15.851143021532179</v>
      </c>
      <c r="X276">
        <v>10.601226967000001</v>
      </c>
      <c r="Y276">
        <v>46.522640592999998</v>
      </c>
      <c r="Z276" s="5">
        <v>0.81441685551376553</v>
      </c>
      <c r="AA276">
        <v>4.2303379756584203</v>
      </c>
      <c r="AB276">
        <v>51.060752999999998</v>
      </c>
      <c r="AC276">
        <v>210.15208699999999</v>
      </c>
      <c r="AD276" s="5">
        <v>0.80452433731818085</v>
      </c>
      <c r="AE276">
        <v>20.375400239425382</v>
      </c>
      <c r="AF276">
        <v>83.859571827613735</v>
      </c>
      <c r="AG276">
        <v>18.564501433758981</v>
      </c>
      <c r="AH276" t="str">
        <f t="shared" si="9"/>
        <v>True</v>
      </c>
      <c r="AI276">
        <v>8</v>
      </c>
    </row>
    <row r="277" spans="1:35" x14ac:dyDescent="0.35">
      <c r="A277" t="s">
        <v>344</v>
      </c>
      <c r="B277" t="s">
        <v>336</v>
      </c>
      <c r="C277" t="s">
        <v>63</v>
      </c>
      <c r="D277" t="s">
        <v>77</v>
      </c>
      <c r="E277" t="s">
        <v>77</v>
      </c>
      <c r="F277" t="s">
        <v>77</v>
      </c>
      <c r="G277" t="s">
        <v>37</v>
      </c>
      <c r="H277" t="s">
        <v>35</v>
      </c>
      <c r="I277" t="s">
        <v>37</v>
      </c>
      <c r="J277" t="s">
        <v>35</v>
      </c>
      <c r="K277" t="s">
        <v>35</v>
      </c>
      <c r="L277" t="s">
        <v>37</v>
      </c>
      <c r="M277" t="s">
        <v>35</v>
      </c>
      <c r="N277" t="s">
        <v>35</v>
      </c>
      <c r="O277" t="str">
        <f t="shared" si="10"/>
        <v>True</v>
      </c>
      <c r="P277" s="3">
        <v>838596</v>
      </c>
      <c r="Q277" s="3">
        <v>2224.2867461999999</v>
      </c>
      <c r="R277" s="3">
        <v>19143.4130568</v>
      </c>
      <c r="S277" s="3">
        <v>1351.1032461</v>
      </c>
      <c r="T277" s="3">
        <v>2121.7449519000002</v>
      </c>
      <c r="U277">
        <v>0.27407821763996021</v>
      </c>
      <c r="V277" s="3">
        <v>-413292.83982599998</v>
      </c>
      <c r="W277">
        <v>39.435211328169473</v>
      </c>
      <c r="X277">
        <v>6.2766347769999999</v>
      </c>
      <c r="Y277">
        <v>50.847232783000003</v>
      </c>
      <c r="Z277" s="5">
        <v>0.89012237712358433</v>
      </c>
      <c r="AA277">
        <v>2.5046427681564252</v>
      </c>
      <c r="AB277">
        <v>31.371943000000002</v>
      </c>
      <c r="AC277">
        <v>229.84089700000001</v>
      </c>
      <c r="AD277" s="5">
        <v>0.8798989245704768</v>
      </c>
      <c r="AE277">
        <v>12.51873224261772</v>
      </c>
      <c r="AF277">
        <v>91.716239824421393</v>
      </c>
      <c r="AG277">
        <v>20.29019664126097</v>
      </c>
      <c r="AH277" t="str">
        <f t="shared" si="9"/>
        <v>True</v>
      </c>
      <c r="AI277">
        <v>8</v>
      </c>
    </row>
    <row r="278" spans="1:35" x14ac:dyDescent="0.35">
      <c r="A278" t="s">
        <v>345</v>
      </c>
      <c r="B278" t="s">
        <v>336</v>
      </c>
      <c r="C278" t="s">
        <v>63</v>
      </c>
      <c r="D278" t="s">
        <v>77</v>
      </c>
      <c r="E278" t="s">
        <v>77</v>
      </c>
      <c r="F278" t="s">
        <v>77</v>
      </c>
      <c r="G278" t="s">
        <v>37</v>
      </c>
      <c r="H278" t="s">
        <v>35</v>
      </c>
      <c r="I278" t="s">
        <v>37</v>
      </c>
      <c r="J278" t="s">
        <v>35</v>
      </c>
      <c r="K278" t="s">
        <v>35</v>
      </c>
      <c r="L278" t="s">
        <v>37</v>
      </c>
      <c r="M278" t="s">
        <v>35</v>
      </c>
      <c r="N278" t="s">
        <v>37</v>
      </c>
      <c r="O278" t="str">
        <f t="shared" si="10"/>
        <v>True</v>
      </c>
      <c r="P278" s="3">
        <v>848130</v>
      </c>
      <c r="Q278" s="3">
        <v>1978.6457654999999</v>
      </c>
      <c r="R278" s="3">
        <v>19389.054037499998</v>
      </c>
      <c r="S278" s="3">
        <v>1351.0994588999999</v>
      </c>
      <c r="T278" s="3">
        <v>2121.7487391</v>
      </c>
      <c r="U278">
        <v>0.27433898458962658</v>
      </c>
      <c r="V278" s="3">
        <v>-417913.94446799997</v>
      </c>
      <c r="W278">
        <v>39.428096143516193</v>
      </c>
      <c r="X278">
        <v>5.6332678429999996</v>
      </c>
      <c r="Y278">
        <v>51.490599717000002</v>
      </c>
      <c r="Z278" s="5">
        <v>0.90138504125122298</v>
      </c>
      <c r="AA278">
        <v>2.2479121480446929</v>
      </c>
      <c r="AB278">
        <v>28.537717000000001</v>
      </c>
      <c r="AC278">
        <v>232.67512300000001</v>
      </c>
      <c r="AD278" s="5">
        <v>0.89074917986420588</v>
      </c>
      <c r="AE278">
        <v>11.387756185155631</v>
      </c>
      <c r="AF278">
        <v>92.8472158818835</v>
      </c>
      <c r="AG278">
        <v>20.546927261372701</v>
      </c>
      <c r="AH278" t="str">
        <f t="shared" si="9"/>
        <v>True</v>
      </c>
      <c r="AI278">
        <v>8</v>
      </c>
    </row>
    <row r="279" spans="1:35" x14ac:dyDescent="0.35">
      <c r="A279" t="s">
        <v>346</v>
      </c>
      <c r="B279" t="s">
        <v>336</v>
      </c>
      <c r="C279" t="s">
        <v>63</v>
      </c>
      <c r="D279" t="s">
        <v>77</v>
      </c>
      <c r="E279" t="s">
        <v>77</v>
      </c>
      <c r="F279" t="s">
        <v>77</v>
      </c>
      <c r="G279" t="s">
        <v>37</v>
      </c>
      <c r="H279" t="s">
        <v>35</v>
      </c>
      <c r="I279" t="s">
        <v>37</v>
      </c>
      <c r="J279" t="s">
        <v>35</v>
      </c>
      <c r="K279" t="s">
        <v>35</v>
      </c>
      <c r="L279" t="s">
        <v>37</v>
      </c>
      <c r="M279" t="s">
        <v>37</v>
      </c>
      <c r="N279" t="s">
        <v>37</v>
      </c>
      <c r="O279" t="str">
        <f t="shared" si="10"/>
        <v>True</v>
      </c>
      <c r="P279" s="3">
        <v>1149994.798134</v>
      </c>
      <c r="Q279" s="3">
        <v>736.3795212</v>
      </c>
      <c r="R279" s="3">
        <v>20631.320281799999</v>
      </c>
      <c r="S279" s="3">
        <v>2979.141705</v>
      </c>
      <c r="T279" s="3">
        <v>493.70649299999991</v>
      </c>
      <c r="U279">
        <v>0.20880992713153079</v>
      </c>
      <c r="V279" s="3">
        <v>-727494.26263800007</v>
      </c>
      <c r="W279">
        <v>54.437554583638509</v>
      </c>
      <c r="X279">
        <v>2.9229795699999999</v>
      </c>
      <c r="Y279">
        <v>54.200887989999998</v>
      </c>
      <c r="Z279" s="5">
        <v>0.94883085311179516</v>
      </c>
      <c r="AA279">
        <v>1.16639248603352</v>
      </c>
      <c r="AB279">
        <v>21.082509999999999</v>
      </c>
      <c r="AC279">
        <v>240.13032999999999</v>
      </c>
      <c r="AD279" s="5">
        <v>0.91928991698876683</v>
      </c>
      <c r="AE279">
        <v>8.4128132482043085</v>
      </c>
      <c r="AF279">
        <v>95.822158818834794</v>
      </c>
      <c r="AG279">
        <v>21.62844692338388</v>
      </c>
      <c r="AH279" t="str">
        <f t="shared" si="9"/>
        <v>True</v>
      </c>
      <c r="AI279">
        <v>8</v>
      </c>
    </row>
    <row r="280" spans="1:35" x14ac:dyDescent="0.35">
      <c r="A280" t="s">
        <v>347</v>
      </c>
      <c r="B280" t="s">
        <v>348</v>
      </c>
      <c r="C280" t="s">
        <v>232</v>
      </c>
      <c r="D280" t="s">
        <v>34</v>
      </c>
      <c r="E280" t="s">
        <v>34</v>
      </c>
      <c r="F280" t="s">
        <v>34</v>
      </c>
      <c r="G280" t="s">
        <v>35</v>
      </c>
      <c r="H280" t="s">
        <v>35</v>
      </c>
      <c r="I280" t="s">
        <v>35</v>
      </c>
      <c r="J280" t="s">
        <v>35</v>
      </c>
      <c r="K280" t="s">
        <v>35</v>
      </c>
      <c r="L280" t="s">
        <v>35</v>
      </c>
      <c r="M280" t="s">
        <v>35</v>
      </c>
      <c r="N280" t="s">
        <v>35</v>
      </c>
      <c r="O280" t="str">
        <f t="shared" si="10"/>
        <v>False</v>
      </c>
      <c r="P280" s="3">
        <v>0</v>
      </c>
      <c r="Q280" s="3">
        <v>39332.432061</v>
      </c>
      <c r="R280" s="3">
        <v>0</v>
      </c>
      <c r="S280" s="3">
        <v>21367.42625</v>
      </c>
      <c r="T280" s="3">
        <v>0</v>
      </c>
      <c r="U280">
        <v>0</v>
      </c>
      <c r="V280" s="3">
        <v>0</v>
      </c>
      <c r="W280">
        <v>0</v>
      </c>
      <c r="X280">
        <v>111.5637246</v>
      </c>
      <c r="Y280">
        <v>-1.4210854715202001E-14</v>
      </c>
      <c r="Z280" s="5">
        <v>-1.2737881211974171E-16</v>
      </c>
      <c r="AA280">
        <v>27.184143421052639</v>
      </c>
      <c r="AB280">
        <v>562.00779999999997</v>
      </c>
      <c r="AC280">
        <v>0</v>
      </c>
      <c r="AD280" s="5">
        <v>0</v>
      </c>
      <c r="AE280">
        <v>136.94147173489279</v>
      </c>
      <c r="AF280">
        <v>0</v>
      </c>
      <c r="AG280">
        <v>3.5527136788005009E-15</v>
      </c>
      <c r="AH280" t="str">
        <f t="shared" si="9"/>
        <v>False</v>
      </c>
      <c r="AI280">
        <v>0</v>
      </c>
    </row>
    <row r="281" spans="1:35" x14ac:dyDescent="0.35">
      <c r="A281" t="s">
        <v>349</v>
      </c>
      <c r="B281" t="s">
        <v>348</v>
      </c>
      <c r="C281" t="s">
        <v>232</v>
      </c>
      <c r="D281" t="s">
        <v>39</v>
      </c>
      <c r="E281" t="s">
        <v>39</v>
      </c>
      <c r="F281" t="s">
        <v>39</v>
      </c>
      <c r="G281" t="s">
        <v>35</v>
      </c>
      <c r="H281" t="s">
        <v>35</v>
      </c>
      <c r="I281" t="s">
        <v>37</v>
      </c>
      <c r="J281" t="s">
        <v>35</v>
      </c>
      <c r="K281" t="s">
        <v>35</v>
      </c>
      <c r="L281" t="s">
        <v>35</v>
      </c>
      <c r="M281" t="s">
        <v>35</v>
      </c>
      <c r="N281" t="s">
        <v>35</v>
      </c>
      <c r="O281" t="str">
        <f t="shared" si="10"/>
        <v>False</v>
      </c>
      <c r="P281" s="3">
        <v>1337600</v>
      </c>
      <c r="Q281" s="3">
        <v>36261.124604999997</v>
      </c>
      <c r="R281" s="3">
        <v>3071.307456</v>
      </c>
      <c r="S281" s="3">
        <v>21046.291249999998</v>
      </c>
      <c r="T281" s="3">
        <v>321.13499999999812</v>
      </c>
      <c r="U281">
        <v>2.7708433014354002E-2</v>
      </c>
      <c r="V281" s="3">
        <v>-1269751.1508800001</v>
      </c>
      <c r="W281">
        <v>394.28819128067198</v>
      </c>
      <c r="X281">
        <v>103.39111699999999</v>
      </c>
      <c r="Y281">
        <v>8.1726075999999921</v>
      </c>
      <c r="Z281" s="5">
        <v>7.3255062335916193E-2</v>
      </c>
      <c r="AA281">
        <v>25.19276730019493</v>
      </c>
      <c r="AB281">
        <v>524.94500000000005</v>
      </c>
      <c r="AC281">
        <v>37.062799999999918</v>
      </c>
      <c r="AD281" s="5">
        <v>6.5947127424209995E-2</v>
      </c>
      <c r="AE281">
        <v>127.91057504873289</v>
      </c>
      <c r="AF281">
        <v>9.0308966861598261</v>
      </c>
      <c r="AG281">
        <v>1.991376120857705</v>
      </c>
      <c r="AH281" t="str">
        <f t="shared" si="9"/>
        <v>True</v>
      </c>
      <c r="AI281">
        <v>7</v>
      </c>
    </row>
    <row r="282" spans="1:35" x14ac:dyDescent="0.35">
      <c r="A282" t="s">
        <v>350</v>
      </c>
      <c r="B282" t="s">
        <v>348</v>
      </c>
      <c r="C282" t="s">
        <v>232</v>
      </c>
      <c r="D282" t="s">
        <v>39</v>
      </c>
      <c r="E282" t="s">
        <v>39</v>
      </c>
      <c r="F282" t="s">
        <v>39</v>
      </c>
      <c r="G282" t="s">
        <v>35</v>
      </c>
      <c r="H282" t="s">
        <v>35</v>
      </c>
      <c r="I282" t="s">
        <v>35</v>
      </c>
      <c r="J282" t="s">
        <v>37</v>
      </c>
      <c r="K282" t="s">
        <v>35</v>
      </c>
      <c r="L282" t="s">
        <v>35</v>
      </c>
      <c r="M282" t="s">
        <v>35</v>
      </c>
      <c r="N282" t="s">
        <v>35</v>
      </c>
      <c r="O282" t="str">
        <f t="shared" si="10"/>
        <v>False</v>
      </c>
      <c r="P282" s="3">
        <v>1641600</v>
      </c>
      <c r="Q282" s="3">
        <v>34540.647102000003</v>
      </c>
      <c r="R282" s="3">
        <v>4791.7849590000023</v>
      </c>
      <c r="S282" s="3">
        <v>20866.388500000001</v>
      </c>
      <c r="T282" s="3">
        <v>501.03774999999769</v>
      </c>
      <c r="U282">
        <v>3.5224537037036999E-2</v>
      </c>
      <c r="V282" s="3">
        <v>-1535743.5458200001</v>
      </c>
      <c r="W282">
        <v>310.15586394167281</v>
      </c>
      <c r="X282">
        <v>98.813001600000007</v>
      </c>
      <c r="Y282">
        <v>12.75072299999999</v>
      </c>
      <c r="Z282" s="5">
        <v>0.1142909404084201</v>
      </c>
      <c r="AA282">
        <v>24.07724210526316</v>
      </c>
      <c r="AB282">
        <v>504.1832</v>
      </c>
      <c r="AC282">
        <v>57.824599999999982</v>
      </c>
      <c r="AD282" s="5">
        <v>0.10288931932973169</v>
      </c>
      <c r="AE282">
        <v>122.851656920078</v>
      </c>
      <c r="AF282">
        <v>14.08981481481481</v>
      </c>
      <c r="AG282">
        <v>3.1069013157894791</v>
      </c>
      <c r="AH282" t="str">
        <f t="shared" si="9"/>
        <v>True</v>
      </c>
      <c r="AI282">
        <v>7</v>
      </c>
    </row>
    <row r="283" spans="1:35" x14ac:dyDescent="0.35">
      <c r="A283" t="s">
        <v>351</v>
      </c>
      <c r="B283" t="s">
        <v>348</v>
      </c>
      <c r="C283" t="s">
        <v>232</v>
      </c>
      <c r="D283" t="s">
        <v>39</v>
      </c>
      <c r="E283" t="s">
        <v>39</v>
      </c>
      <c r="F283" t="s">
        <v>39</v>
      </c>
      <c r="G283" t="s">
        <v>35</v>
      </c>
      <c r="H283" t="s">
        <v>35</v>
      </c>
      <c r="I283" t="s">
        <v>35</v>
      </c>
      <c r="J283" t="s">
        <v>35</v>
      </c>
      <c r="K283" t="s">
        <v>35</v>
      </c>
      <c r="L283" t="s">
        <v>35</v>
      </c>
      <c r="M283" t="s">
        <v>35</v>
      </c>
      <c r="N283" t="s">
        <v>37</v>
      </c>
      <c r="O283" t="str">
        <f t="shared" si="10"/>
        <v>False</v>
      </c>
      <c r="P283" s="3">
        <v>38515.465943000003</v>
      </c>
      <c r="Q283" s="3">
        <v>26311.001256</v>
      </c>
      <c r="R283" s="3">
        <v>13021.430805</v>
      </c>
      <c r="S283" s="3">
        <v>20037.46125</v>
      </c>
      <c r="T283" s="3">
        <v>1329.964999999999</v>
      </c>
      <c r="U283">
        <v>4.0756484741041943</v>
      </c>
      <c r="V283" s="3">
        <v>248512.45015700001</v>
      </c>
      <c r="W283">
        <v>2.6837435512426802</v>
      </c>
      <c r="X283">
        <v>76.926918099999995</v>
      </c>
      <c r="Y283">
        <v>34.636806500000013</v>
      </c>
      <c r="Z283" s="5">
        <v>0.3104665662981998</v>
      </c>
      <c r="AA283">
        <v>18.744375755360618</v>
      </c>
      <c r="AB283">
        <v>405.03230000000002</v>
      </c>
      <c r="AC283">
        <v>156.97550000000001</v>
      </c>
      <c r="AD283" s="5">
        <v>0.27931195972724943</v>
      </c>
      <c r="AE283">
        <v>98.692080896686164</v>
      </c>
      <c r="AF283">
        <v>38.249390838206629</v>
      </c>
      <c r="AG283">
        <v>8.4397676656920169</v>
      </c>
      <c r="AH283" t="str">
        <f t="shared" si="9"/>
        <v>False</v>
      </c>
      <c r="AI283">
        <v>0</v>
      </c>
    </row>
    <row r="284" spans="1:35" x14ac:dyDescent="0.35">
      <c r="A284" t="s">
        <v>352</v>
      </c>
      <c r="B284" t="s">
        <v>348</v>
      </c>
      <c r="C284" t="s">
        <v>232</v>
      </c>
      <c r="D284" t="s">
        <v>34</v>
      </c>
      <c r="E284" t="s">
        <v>34</v>
      </c>
      <c r="F284" t="s">
        <v>34</v>
      </c>
      <c r="G284" t="s">
        <v>35</v>
      </c>
      <c r="H284" t="s">
        <v>35</v>
      </c>
      <c r="I284" t="s">
        <v>35</v>
      </c>
      <c r="J284" t="s">
        <v>35</v>
      </c>
      <c r="K284" t="s">
        <v>35</v>
      </c>
      <c r="L284" t="s">
        <v>35</v>
      </c>
      <c r="M284" t="s">
        <v>37</v>
      </c>
      <c r="N284" t="s">
        <v>35</v>
      </c>
      <c r="O284" t="str">
        <f t="shared" si="10"/>
        <v>False</v>
      </c>
      <c r="P284" s="3">
        <v>110750</v>
      </c>
      <c r="Q284" s="3">
        <v>39332.414727000003</v>
      </c>
      <c r="R284" s="3">
        <v>1.73340000005754E-2</v>
      </c>
      <c r="S284" s="3">
        <v>21367.42625</v>
      </c>
      <c r="T284" s="3">
        <v>0</v>
      </c>
      <c r="U284">
        <v>1.805869074038789E-6</v>
      </c>
      <c r="V284" s="3">
        <v>-110749.65332</v>
      </c>
      <c r="W284">
        <v>6389177.3391210036</v>
      </c>
      <c r="X284">
        <v>111.5636792</v>
      </c>
      <c r="Y284">
        <v>4.5399999990536337E-5</v>
      </c>
      <c r="Z284" s="5">
        <v>4.0694231169955348E-7</v>
      </c>
      <c r="AA284">
        <v>27.184132358674471</v>
      </c>
      <c r="AB284">
        <v>562.00760000000002</v>
      </c>
      <c r="AC284">
        <v>1.9999999994969999E-4</v>
      </c>
      <c r="AD284" s="5">
        <v>3.5586694695304209E-7</v>
      </c>
      <c r="AE284">
        <v>136.94142300194929</v>
      </c>
      <c r="AF284">
        <v>4.8732943457552609E-5</v>
      </c>
      <c r="AG284">
        <v>1.106237817083411E-5</v>
      </c>
      <c r="AH284" t="str">
        <f t="shared" si="9"/>
        <v>False</v>
      </c>
      <c r="AI284">
        <v>0</v>
      </c>
    </row>
    <row r="285" spans="1:35" x14ac:dyDescent="0.35">
      <c r="A285" t="s">
        <v>353</v>
      </c>
      <c r="B285" t="s">
        <v>348</v>
      </c>
      <c r="C285" t="s">
        <v>232</v>
      </c>
      <c r="D285" t="s">
        <v>39</v>
      </c>
      <c r="E285" t="s">
        <v>39</v>
      </c>
      <c r="F285" t="s">
        <v>39</v>
      </c>
      <c r="G285" t="s">
        <v>35</v>
      </c>
      <c r="H285" t="s">
        <v>35</v>
      </c>
      <c r="I285" t="s">
        <v>37</v>
      </c>
      <c r="J285" t="s">
        <v>35</v>
      </c>
      <c r="K285" t="s">
        <v>35</v>
      </c>
      <c r="L285" t="s">
        <v>35</v>
      </c>
      <c r="M285" t="s">
        <v>35</v>
      </c>
      <c r="N285" t="s">
        <v>37</v>
      </c>
      <c r="O285" t="str">
        <f t="shared" si="10"/>
        <v>True</v>
      </c>
      <c r="P285" s="3">
        <v>1364168.78</v>
      </c>
      <c r="Q285" s="3">
        <v>24124.013811000001</v>
      </c>
      <c r="R285" s="3">
        <v>15208.418250000001</v>
      </c>
      <c r="S285" s="3">
        <v>19826.788</v>
      </c>
      <c r="T285" s="3">
        <v>1540.6382499999979</v>
      </c>
      <c r="U285">
        <v>0.13434972467263179</v>
      </c>
      <c r="V285" s="3">
        <v>-1029187.65</v>
      </c>
      <c r="W285">
        <v>81.447500042763593</v>
      </c>
      <c r="X285">
        <v>71.114644299999995</v>
      </c>
      <c r="Y285">
        <v>40.449080300000013</v>
      </c>
      <c r="Z285" s="5">
        <v>0.36256480719898809</v>
      </c>
      <c r="AA285">
        <v>17.32812970272904</v>
      </c>
      <c r="AB285">
        <v>378.7321</v>
      </c>
      <c r="AC285">
        <v>183.2757</v>
      </c>
      <c r="AD285" s="5">
        <v>0.32610881913026829</v>
      </c>
      <c r="AE285">
        <v>92.28365009746588</v>
      </c>
      <c r="AF285">
        <v>44.657821637426899</v>
      </c>
      <c r="AG285">
        <v>9.8560137183235952</v>
      </c>
      <c r="AH285" t="str">
        <f t="shared" si="9"/>
        <v>True</v>
      </c>
      <c r="AI285">
        <v>7</v>
      </c>
    </row>
    <row r="286" spans="1:35" x14ac:dyDescent="0.35">
      <c r="A286" t="s">
        <v>354</v>
      </c>
      <c r="B286" t="s">
        <v>348</v>
      </c>
      <c r="C286" t="s">
        <v>232</v>
      </c>
      <c r="D286" t="s">
        <v>39</v>
      </c>
      <c r="E286" t="s">
        <v>39</v>
      </c>
      <c r="F286" t="s">
        <v>39</v>
      </c>
      <c r="G286" t="s">
        <v>35</v>
      </c>
      <c r="H286" t="s">
        <v>35</v>
      </c>
      <c r="I286" t="s">
        <v>35</v>
      </c>
      <c r="J286" t="s">
        <v>35</v>
      </c>
      <c r="K286" t="s">
        <v>35</v>
      </c>
      <c r="L286" t="s">
        <v>35</v>
      </c>
      <c r="M286" t="s">
        <v>37</v>
      </c>
      <c r="N286" t="s">
        <v>37</v>
      </c>
      <c r="O286" t="str">
        <f t="shared" si="10"/>
        <v>True</v>
      </c>
      <c r="P286" s="3">
        <v>139031.84</v>
      </c>
      <c r="Q286" s="3">
        <v>26310.879917999999</v>
      </c>
      <c r="R286" s="3">
        <v>13021.552143000001</v>
      </c>
      <c r="S286" s="3">
        <v>20037.441500000001</v>
      </c>
      <c r="T286" s="3">
        <v>1329.9847500000001</v>
      </c>
      <c r="U286">
        <v>1.129072304588647</v>
      </c>
      <c r="V286" s="3">
        <v>147998.89786000011</v>
      </c>
      <c r="W286">
        <v>9.6875924186080127</v>
      </c>
      <c r="X286">
        <v>76.926592400000004</v>
      </c>
      <c r="Y286">
        <v>34.637132200000003</v>
      </c>
      <c r="Z286" s="5">
        <v>0.31046948570592992</v>
      </c>
      <c r="AA286">
        <v>18.74429639376218</v>
      </c>
      <c r="AB286">
        <v>405.0308</v>
      </c>
      <c r="AC286">
        <v>156.977</v>
      </c>
      <c r="AD286" s="5">
        <v>0.27931462872935209</v>
      </c>
      <c r="AE286">
        <v>98.691715399610118</v>
      </c>
      <c r="AF286">
        <v>38.249756335282648</v>
      </c>
      <c r="AG286">
        <v>8.4398470272904547</v>
      </c>
      <c r="AH286" t="str">
        <f t="shared" si="9"/>
        <v>False</v>
      </c>
      <c r="AI286">
        <v>0</v>
      </c>
    </row>
    <row r="287" spans="1:35" x14ac:dyDescent="0.35">
      <c r="A287" t="s">
        <v>355</v>
      </c>
      <c r="B287" t="s">
        <v>348</v>
      </c>
      <c r="C287" t="s">
        <v>232</v>
      </c>
      <c r="D287" t="s">
        <v>39</v>
      </c>
      <c r="E287" t="s">
        <v>39</v>
      </c>
      <c r="F287" t="s">
        <v>39</v>
      </c>
      <c r="G287" t="s">
        <v>35</v>
      </c>
      <c r="H287" t="s">
        <v>35</v>
      </c>
      <c r="I287" t="s">
        <v>37</v>
      </c>
      <c r="J287" t="s">
        <v>35</v>
      </c>
      <c r="K287" t="s">
        <v>35</v>
      </c>
      <c r="L287" t="s">
        <v>35</v>
      </c>
      <c r="M287" t="s">
        <v>37</v>
      </c>
      <c r="N287" t="s">
        <v>35</v>
      </c>
      <c r="O287" t="str">
        <f t="shared" si="10"/>
        <v>True</v>
      </c>
      <c r="P287" s="3">
        <v>1448350</v>
      </c>
      <c r="Q287" s="3">
        <v>36261.141939000001</v>
      </c>
      <c r="R287" s="3">
        <v>3071.2901219999999</v>
      </c>
      <c r="S287" s="3">
        <v>21046.291249999998</v>
      </c>
      <c r="T287" s="3">
        <v>321.13499999999812</v>
      </c>
      <c r="U287">
        <v>2.5589532916767299E-2</v>
      </c>
      <c r="V287" s="3">
        <v>-1380501.49756</v>
      </c>
      <c r="W287">
        <v>426.93646813525783</v>
      </c>
      <c r="X287">
        <v>103.3911624</v>
      </c>
      <c r="Y287">
        <v>8.1725622000000016</v>
      </c>
      <c r="Z287" s="5">
        <v>7.3254655393604498E-2</v>
      </c>
      <c r="AA287">
        <v>25.192778362573101</v>
      </c>
      <c r="AB287">
        <v>524.9452</v>
      </c>
      <c r="AC287">
        <v>37.062599999999968</v>
      </c>
      <c r="AD287" s="5">
        <v>6.5946771557263001E-2</v>
      </c>
      <c r="AE287">
        <v>127.91062378167641</v>
      </c>
      <c r="AF287">
        <v>9.0308479532163695</v>
      </c>
      <c r="AG287">
        <v>1.9913650584795379</v>
      </c>
      <c r="AH287" t="str">
        <f t="shared" si="9"/>
        <v>True</v>
      </c>
      <c r="AI287">
        <v>7</v>
      </c>
    </row>
    <row r="288" spans="1:35" x14ac:dyDescent="0.35">
      <c r="A288" t="s">
        <v>356</v>
      </c>
      <c r="B288" t="s">
        <v>348</v>
      </c>
      <c r="C288" t="s">
        <v>232</v>
      </c>
      <c r="D288" t="s">
        <v>39</v>
      </c>
      <c r="E288" t="s">
        <v>39</v>
      </c>
      <c r="F288" t="s">
        <v>39</v>
      </c>
      <c r="G288" t="s">
        <v>35</v>
      </c>
      <c r="H288" t="s">
        <v>35</v>
      </c>
      <c r="I288" t="s">
        <v>37</v>
      </c>
      <c r="J288" t="s">
        <v>35</v>
      </c>
      <c r="K288" t="s">
        <v>35</v>
      </c>
      <c r="L288" t="s">
        <v>35</v>
      </c>
      <c r="M288" t="s">
        <v>37</v>
      </c>
      <c r="N288" t="s">
        <v>37</v>
      </c>
      <c r="O288" t="str">
        <f t="shared" si="10"/>
        <v>True</v>
      </c>
      <c r="P288" s="3">
        <v>1474918.78</v>
      </c>
      <c r="Q288" s="3">
        <v>24123.935807999998</v>
      </c>
      <c r="R288" s="3">
        <v>15208.496252999999</v>
      </c>
      <c r="S288" s="3">
        <v>19826.768250000001</v>
      </c>
      <c r="T288" s="3">
        <v>1540.657999999999</v>
      </c>
      <c r="U288">
        <v>0.1242622322566128</v>
      </c>
      <c r="V288" s="3">
        <v>-1139935.6949400001</v>
      </c>
      <c r="W288">
        <v>88.059298858975055</v>
      </c>
      <c r="X288">
        <v>71.114432100000002</v>
      </c>
      <c r="Y288">
        <v>40.449292499999999</v>
      </c>
      <c r="Z288" s="5">
        <v>0.3625667092509387</v>
      </c>
      <c r="AA288">
        <v>17.328077997076029</v>
      </c>
      <c r="AB288">
        <v>378.73110000000003</v>
      </c>
      <c r="AC288">
        <v>183.27670000000001</v>
      </c>
      <c r="AD288" s="5">
        <v>0.32611059846500351</v>
      </c>
      <c r="AE288">
        <v>92.283406432748535</v>
      </c>
      <c r="AF288">
        <v>44.658065302144252</v>
      </c>
      <c r="AG288">
        <v>9.8560654239766112</v>
      </c>
      <c r="AH288" t="str">
        <f t="shared" si="9"/>
        <v>True</v>
      </c>
      <c r="AI288">
        <v>7</v>
      </c>
    </row>
    <row r="289" spans="1:35" x14ac:dyDescent="0.35">
      <c r="A289" t="s">
        <v>357</v>
      </c>
      <c r="B289" t="s">
        <v>358</v>
      </c>
      <c r="C289" t="s">
        <v>232</v>
      </c>
      <c r="D289" t="s">
        <v>34</v>
      </c>
      <c r="E289" t="s">
        <v>39</v>
      </c>
      <c r="F289" t="s">
        <v>34</v>
      </c>
      <c r="G289" t="s">
        <v>35</v>
      </c>
      <c r="H289" t="s">
        <v>35</v>
      </c>
      <c r="I289" t="s">
        <v>35</v>
      </c>
      <c r="J289" t="s">
        <v>35</v>
      </c>
      <c r="K289" t="s">
        <v>35</v>
      </c>
      <c r="L289" t="s">
        <v>35</v>
      </c>
      <c r="M289" t="s">
        <v>35</v>
      </c>
      <c r="N289" t="s">
        <v>35</v>
      </c>
      <c r="O289" t="str">
        <f t="shared" si="10"/>
        <v>False</v>
      </c>
      <c r="P289" s="3">
        <v>0</v>
      </c>
      <c r="Q289" s="3">
        <v>9921.9035970000004</v>
      </c>
      <c r="R289" s="3">
        <v>0</v>
      </c>
      <c r="S289" s="3">
        <v>39972.0645</v>
      </c>
      <c r="T289" s="3">
        <v>0</v>
      </c>
      <c r="U289">
        <v>0</v>
      </c>
      <c r="V289" s="3">
        <v>0</v>
      </c>
      <c r="W289">
        <v>0</v>
      </c>
      <c r="X289">
        <v>41.975581499999997</v>
      </c>
      <c r="Y289">
        <v>0</v>
      </c>
      <c r="Z289" s="5">
        <v>0</v>
      </c>
      <c r="AA289">
        <v>18.865429887640449</v>
      </c>
      <c r="AB289">
        <v>316.86930000000001</v>
      </c>
      <c r="AC289">
        <v>0</v>
      </c>
      <c r="AD289" s="5">
        <v>0</v>
      </c>
      <c r="AE289">
        <v>142.4131685393258</v>
      </c>
      <c r="AF289">
        <v>0</v>
      </c>
      <c r="AG289">
        <v>0</v>
      </c>
      <c r="AH289" t="str">
        <f t="shared" si="9"/>
        <v>False</v>
      </c>
      <c r="AI289">
        <v>0</v>
      </c>
    </row>
    <row r="290" spans="1:35" x14ac:dyDescent="0.35">
      <c r="A290" t="s">
        <v>359</v>
      </c>
      <c r="B290" t="s">
        <v>358</v>
      </c>
      <c r="C290" t="s">
        <v>232</v>
      </c>
      <c r="D290" t="s">
        <v>34</v>
      </c>
      <c r="E290" t="s">
        <v>39</v>
      </c>
      <c r="F290" t="s">
        <v>34</v>
      </c>
      <c r="G290" t="s">
        <v>35</v>
      </c>
      <c r="H290" t="s">
        <v>35</v>
      </c>
      <c r="I290" t="s">
        <v>37</v>
      </c>
      <c r="J290" t="s">
        <v>35</v>
      </c>
      <c r="K290" t="s">
        <v>35</v>
      </c>
      <c r="L290" t="s">
        <v>35</v>
      </c>
      <c r="M290" t="s">
        <v>35</v>
      </c>
      <c r="N290" t="s">
        <v>35</v>
      </c>
      <c r="O290" t="str">
        <f t="shared" si="10"/>
        <v>False</v>
      </c>
      <c r="P290" s="3">
        <v>463805</v>
      </c>
      <c r="Q290" s="3">
        <v>9380.2854329999991</v>
      </c>
      <c r="R290" s="3">
        <v>541.61816400000021</v>
      </c>
      <c r="S290" s="3">
        <v>39915.322749999999</v>
      </c>
      <c r="T290" s="3">
        <v>56.741749999997573</v>
      </c>
      <c r="U290">
        <v>1.40932072746089E-2</v>
      </c>
      <c r="V290" s="3">
        <v>-451837.80171999999</v>
      </c>
      <c r="W290">
        <v>775.12712524389087</v>
      </c>
      <c r="X290">
        <v>40.534316400000002</v>
      </c>
      <c r="Y290">
        <v>1.441265099999995</v>
      </c>
      <c r="Z290" s="5">
        <v>3.4335798302162698E-2</v>
      </c>
      <c r="AA290">
        <v>18.21767029213483</v>
      </c>
      <c r="AB290">
        <v>310.33280000000002</v>
      </c>
      <c r="AC290">
        <v>6.5364999999999904</v>
      </c>
      <c r="AD290" s="5">
        <v>2.0628378956244701E-2</v>
      </c>
      <c r="AE290">
        <v>139.47541573033709</v>
      </c>
      <c r="AF290">
        <v>2.9377528089887588</v>
      </c>
      <c r="AG290">
        <v>0.64775959550561524</v>
      </c>
      <c r="AH290" t="str">
        <f t="shared" si="9"/>
        <v>True</v>
      </c>
      <c r="AI290">
        <v>3</v>
      </c>
    </row>
    <row r="291" spans="1:35" x14ac:dyDescent="0.35">
      <c r="A291" t="s">
        <v>360</v>
      </c>
      <c r="B291" t="s">
        <v>358</v>
      </c>
      <c r="C291" t="s">
        <v>232</v>
      </c>
      <c r="D291" t="s">
        <v>34</v>
      </c>
      <c r="E291" t="s">
        <v>39</v>
      </c>
      <c r="F291" t="s">
        <v>34</v>
      </c>
      <c r="G291" t="s">
        <v>35</v>
      </c>
      <c r="H291" t="s">
        <v>35</v>
      </c>
      <c r="I291" t="s">
        <v>35</v>
      </c>
      <c r="J291" t="s">
        <v>37</v>
      </c>
      <c r="K291" t="s">
        <v>35</v>
      </c>
      <c r="L291" t="s">
        <v>35</v>
      </c>
      <c r="M291" t="s">
        <v>35</v>
      </c>
      <c r="N291" t="s">
        <v>35</v>
      </c>
      <c r="O291" t="str">
        <f t="shared" si="10"/>
        <v>False</v>
      </c>
      <c r="P291" s="3">
        <v>569215.19999999995</v>
      </c>
      <c r="Q291" s="3">
        <v>8690.7995820000015</v>
      </c>
      <c r="R291" s="3">
        <v>1231.1040149999999</v>
      </c>
      <c r="S291" s="3">
        <v>39843.037750000003</v>
      </c>
      <c r="T291" s="3">
        <v>129.02675000000031</v>
      </c>
      <c r="U291">
        <v>2.61022544724736E-2</v>
      </c>
      <c r="V291" s="3">
        <v>-542012.58470000001</v>
      </c>
      <c r="W291">
        <v>418.50034911900548</v>
      </c>
      <c r="X291">
        <v>38.699549300000001</v>
      </c>
      <c r="Y291">
        <v>3.276032199999996</v>
      </c>
      <c r="Z291" s="5">
        <v>7.8046142136232094E-2</v>
      </c>
      <c r="AA291">
        <v>17.393055865168542</v>
      </c>
      <c r="AB291">
        <v>302.01150000000001</v>
      </c>
      <c r="AC291">
        <v>14.857799999999999</v>
      </c>
      <c r="AD291" s="5">
        <v>4.6889364163710298E-2</v>
      </c>
      <c r="AE291">
        <v>135.73550561797751</v>
      </c>
      <c r="AF291">
        <v>6.6776629213483139</v>
      </c>
      <c r="AG291">
        <v>1.4723740224719111</v>
      </c>
      <c r="AH291" t="str">
        <f t="shared" si="9"/>
        <v>True</v>
      </c>
      <c r="AI291">
        <v>3</v>
      </c>
    </row>
    <row r="292" spans="1:35" x14ac:dyDescent="0.35">
      <c r="A292" t="s">
        <v>361</v>
      </c>
      <c r="B292" t="s">
        <v>362</v>
      </c>
      <c r="C292" t="s">
        <v>232</v>
      </c>
      <c r="D292" t="s">
        <v>39</v>
      </c>
      <c r="E292" t="s">
        <v>39</v>
      </c>
      <c r="F292" t="s">
        <v>39</v>
      </c>
      <c r="G292" t="s">
        <v>35</v>
      </c>
      <c r="H292" t="s">
        <v>35</v>
      </c>
      <c r="I292" t="s">
        <v>35</v>
      </c>
      <c r="J292" t="s">
        <v>35</v>
      </c>
      <c r="K292" t="s">
        <v>35</v>
      </c>
      <c r="L292" t="s">
        <v>35</v>
      </c>
      <c r="M292" t="s">
        <v>35</v>
      </c>
      <c r="N292" t="s">
        <v>35</v>
      </c>
      <c r="O292" t="str">
        <f t="shared" si="10"/>
        <v>False</v>
      </c>
      <c r="P292" s="3">
        <v>0</v>
      </c>
      <c r="Q292" s="3">
        <v>3828.6394497000001</v>
      </c>
      <c r="R292" s="3">
        <v>0</v>
      </c>
      <c r="S292" s="3">
        <v>12405.863592</v>
      </c>
      <c r="T292" s="3">
        <v>0</v>
      </c>
      <c r="U292">
        <v>0</v>
      </c>
      <c r="V292" s="3">
        <v>0</v>
      </c>
      <c r="W292">
        <v>0</v>
      </c>
      <c r="X292">
        <v>14.16823361</v>
      </c>
      <c r="Y292">
        <v>0</v>
      </c>
      <c r="Z292" s="5">
        <v>0</v>
      </c>
      <c r="AA292">
        <v>13.253726482694111</v>
      </c>
      <c r="AB292">
        <v>96.586669999999998</v>
      </c>
      <c r="AC292">
        <v>0</v>
      </c>
      <c r="AD292" s="5">
        <v>0</v>
      </c>
      <c r="AE292">
        <v>90.352357343311525</v>
      </c>
      <c r="AF292">
        <v>0</v>
      </c>
      <c r="AG292">
        <v>5.3290705182007514E-15</v>
      </c>
      <c r="AH292" t="str">
        <f t="shared" si="9"/>
        <v>False</v>
      </c>
      <c r="AI292">
        <v>0</v>
      </c>
    </row>
    <row r="293" spans="1:35" x14ac:dyDescent="0.35">
      <c r="A293" t="s">
        <v>363</v>
      </c>
      <c r="B293" t="s">
        <v>362</v>
      </c>
      <c r="C293" t="s">
        <v>232</v>
      </c>
      <c r="D293" t="s">
        <v>39</v>
      </c>
      <c r="E293" t="s">
        <v>52</v>
      </c>
      <c r="F293" t="s">
        <v>39</v>
      </c>
      <c r="G293" t="s">
        <v>37</v>
      </c>
      <c r="H293" t="s">
        <v>35</v>
      </c>
      <c r="I293" t="s">
        <v>35</v>
      </c>
      <c r="J293" t="s">
        <v>35</v>
      </c>
      <c r="K293" t="s">
        <v>35</v>
      </c>
      <c r="L293" t="s">
        <v>35</v>
      </c>
      <c r="M293" t="s">
        <v>35</v>
      </c>
      <c r="N293" t="s">
        <v>35</v>
      </c>
      <c r="O293" t="str">
        <f t="shared" si="10"/>
        <v>False</v>
      </c>
      <c r="P293" s="3">
        <v>57632.4</v>
      </c>
      <c r="Q293" s="3">
        <v>1923.3399050999999</v>
      </c>
      <c r="R293" s="3">
        <v>1905.2995446</v>
      </c>
      <c r="S293" s="3">
        <v>12186.622584000001</v>
      </c>
      <c r="T293" s="3">
        <v>219.24100799999999</v>
      </c>
      <c r="U293">
        <v>0.39751285735107322</v>
      </c>
      <c r="V293" s="3">
        <v>-15141.58894800001</v>
      </c>
      <c r="W293">
        <v>27.12699455393771</v>
      </c>
      <c r="X293">
        <v>9.1048333899999996</v>
      </c>
      <c r="Y293">
        <v>5.0634002200000001</v>
      </c>
      <c r="Z293" s="5">
        <v>0.357376957451226</v>
      </c>
      <c r="AA293">
        <v>8.5171500374181477</v>
      </c>
      <c r="AB293">
        <v>73.677050000000008</v>
      </c>
      <c r="AC293">
        <v>22.90961999999999</v>
      </c>
      <c r="AD293" s="5">
        <v>0.23719235791025811</v>
      </c>
      <c r="AE293">
        <v>68.921468662301223</v>
      </c>
      <c r="AF293">
        <v>21.430888681010281</v>
      </c>
      <c r="AG293">
        <v>4.7365764452759631</v>
      </c>
      <c r="AH293" t="str">
        <f t="shared" si="9"/>
        <v>True</v>
      </c>
      <c r="AI293">
        <v>3</v>
      </c>
    </row>
    <row r="294" spans="1:35" x14ac:dyDescent="0.35">
      <c r="A294" t="s">
        <v>364</v>
      </c>
      <c r="B294" t="s">
        <v>362</v>
      </c>
      <c r="C294" t="s">
        <v>232</v>
      </c>
      <c r="D294" t="s">
        <v>39</v>
      </c>
      <c r="E294" t="s">
        <v>52</v>
      </c>
      <c r="F294" t="s">
        <v>39</v>
      </c>
      <c r="G294" t="s">
        <v>35</v>
      </c>
      <c r="H294" t="s">
        <v>37</v>
      </c>
      <c r="I294" t="s">
        <v>35</v>
      </c>
      <c r="J294" t="s">
        <v>35</v>
      </c>
      <c r="K294" t="s">
        <v>35</v>
      </c>
      <c r="L294" t="s">
        <v>35</v>
      </c>
      <c r="M294" t="s">
        <v>35</v>
      </c>
      <c r="N294" t="s">
        <v>35</v>
      </c>
      <c r="O294" t="str">
        <f t="shared" si="10"/>
        <v>False</v>
      </c>
      <c r="P294" s="3">
        <v>138317.79999999999</v>
      </c>
      <c r="Q294" s="3">
        <v>1923.3442385999999</v>
      </c>
      <c r="R294" s="3">
        <v>1905.2952111</v>
      </c>
      <c r="S294" s="3">
        <v>12186.622584000001</v>
      </c>
      <c r="T294" s="3">
        <v>219.24100799999999</v>
      </c>
      <c r="U294">
        <v>0.16562994784474599</v>
      </c>
      <c r="V294" s="3">
        <v>-95827.075618000003</v>
      </c>
      <c r="W294">
        <v>65.104938553880928</v>
      </c>
      <c r="X294">
        <v>9.1048447400000008</v>
      </c>
      <c r="Y294">
        <v>5.0633888699999989</v>
      </c>
      <c r="Z294" s="5">
        <v>0.3573761563633619</v>
      </c>
      <c r="AA294">
        <v>8.5171606548175873</v>
      </c>
      <c r="AB294">
        <v>73.677099999999996</v>
      </c>
      <c r="AC294">
        <v>22.909569999999999</v>
      </c>
      <c r="AD294" s="5">
        <v>0.2371918402404804</v>
      </c>
      <c r="AE294">
        <v>68.921515434985963</v>
      </c>
      <c r="AF294">
        <v>21.43084190832554</v>
      </c>
      <c r="AG294">
        <v>4.7365658278765226</v>
      </c>
      <c r="AH294" t="str">
        <f t="shared" si="9"/>
        <v>False</v>
      </c>
      <c r="AI294">
        <v>3</v>
      </c>
    </row>
    <row r="295" spans="1:35" x14ac:dyDescent="0.35">
      <c r="A295" t="s">
        <v>365</v>
      </c>
      <c r="B295" t="s">
        <v>362</v>
      </c>
      <c r="C295" t="s">
        <v>232</v>
      </c>
      <c r="D295" t="s">
        <v>39</v>
      </c>
      <c r="E295" t="s">
        <v>39</v>
      </c>
      <c r="F295" t="s">
        <v>39</v>
      </c>
      <c r="G295" t="s">
        <v>35</v>
      </c>
      <c r="H295" t="s">
        <v>35</v>
      </c>
      <c r="I295" t="s">
        <v>37</v>
      </c>
      <c r="J295" t="s">
        <v>35</v>
      </c>
      <c r="K295" t="s">
        <v>35</v>
      </c>
      <c r="L295" t="s">
        <v>35</v>
      </c>
      <c r="M295" t="s">
        <v>35</v>
      </c>
      <c r="N295" t="s">
        <v>35</v>
      </c>
      <c r="O295" t="str">
        <f t="shared" si="10"/>
        <v>False</v>
      </c>
      <c r="P295" s="3">
        <v>211318.8</v>
      </c>
      <c r="Q295" s="3">
        <v>3074.4995121000002</v>
      </c>
      <c r="R295" s="3">
        <v>754.13993759999971</v>
      </c>
      <c r="S295" s="3">
        <v>12319.044399</v>
      </c>
      <c r="T295" s="3">
        <v>86.819193000000411</v>
      </c>
      <c r="U295">
        <v>4.2911799612717801E-2</v>
      </c>
      <c r="V295" s="3">
        <v>-194499.61738800001</v>
      </c>
      <c r="W295">
        <v>251.28307941579769</v>
      </c>
      <c r="X295">
        <v>12.16406664</v>
      </c>
      <c r="Y295">
        <v>2.00416697</v>
      </c>
      <c r="Z295" s="5">
        <v>0.14145496362972521</v>
      </c>
      <c r="AA295">
        <v>11.378921085126279</v>
      </c>
      <c r="AB295">
        <v>87.518599999999992</v>
      </c>
      <c r="AC295">
        <v>9.0680700000000058</v>
      </c>
      <c r="AD295" s="5">
        <v>9.3885315644488002E-2</v>
      </c>
      <c r="AE295">
        <v>81.869597754911126</v>
      </c>
      <c r="AF295">
        <v>8.4827595884003788</v>
      </c>
      <c r="AG295">
        <v>1.874805397567826</v>
      </c>
      <c r="AH295" t="str">
        <f t="shared" si="9"/>
        <v>True</v>
      </c>
      <c r="AI295">
        <v>1</v>
      </c>
    </row>
    <row r="296" spans="1:35" x14ac:dyDescent="0.35">
      <c r="A296" t="s">
        <v>366</v>
      </c>
      <c r="B296" t="s">
        <v>362</v>
      </c>
      <c r="C296" t="s">
        <v>232</v>
      </c>
      <c r="D296" t="s">
        <v>39</v>
      </c>
      <c r="E296" t="s">
        <v>39</v>
      </c>
      <c r="F296" t="s">
        <v>39</v>
      </c>
      <c r="G296" t="s">
        <v>35</v>
      </c>
      <c r="H296" t="s">
        <v>35</v>
      </c>
      <c r="I296" t="s">
        <v>35</v>
      </c>
      <c r="J296" t="s">
        <v>35</v>
      </c>
      <c r="K296" t="s">
        <v>35</v>
      </c>
      <c r="L296" t="s">
        <v>35</v>
      </c>
      <c r="M296" t="s">
        <v>35</v>
      </c>
      <c r="N296" t="s">
        <v>37</v>
      </c>
      <c r="O296" t="str">
        <f t="shared" si="10"/>
        <v>False</v>
      </c>
      <c r="P296" s="3">
        <v>26485.59894</v>
      </c>
      <c r="Q296" s="3">
        <v>3101.1973389</v>
      </c>
      <c r="R296" s="3">
        <v>727.44211079999991</v>
      </c>
      <c r="S296" s="3">
        <v>12322.161738000001</v>
      </c>
      <c r="T296" s="3">
        <v>83.701853999999855</v>
      </c>
      <c r="U296">
        <v>0.33024965830733061</v>
      </c>
      <c r="V296" s="3">
        <v>-10262.719644000001</v>
      </c>
      <c r="W296">
        <v>32.652155584404113</v>
      </c>
      <c r="X296">
        <v>12.23503215</v>
      </c>
      <c r="Y296">
        <v>1.9332014599999989</v>
      </c>
      <c r="Z296" s="5">
        <v>0.13644618752160731</v>
      </c>
      <c r="AA296">
        <v>11.44530603367633</v>
      </c>
      <c r="AB296">
        <v>87.83981</v>
      </c>
      <c r="AC296">
        <v>8.7468599999999981</v>
      </c>
      <c r="AD296" s="5">
        <v>9.0559701457768399E-2</v>
      </c>
      <c r="AE296">
        <v>82.170074836295598</v>
      </c>
      <c r="AF296">
        <v>8.182282507015902</v>
      </c>
      <c r="AG296">
        <v>1.808420449017778</v>
      </c>
      <c r="AH296" t="str">
        <f t="shared" si="9"/>
        <v>False</v>
      </c>
      <c r="AI296">
        <v>0</v>
      </c>
    </row>
    <row r="297" spans="1:35" x14ac:dyDescent="0.35">
      <c r="A297" t="s">
        <v>367</v>
      </c>
      <c r="B297" t="s">
        <v>362</v>
      </c>
      <c r="C297" t="s">
        <v>232</v>
      </c>
      <c r="D297" t="s">
        <v>39</v>
      </c>
      <c r="E297" t="s">
        <v>39</v>
      </c>
      <c r="F297" t="s">
        <v>39</v>
      </c>
      <c r="G297" t="s">
        <v>35</v>
      </c>
      <c r="H297" t="s">
        <v>35</v>
      </c>
      <c r="I297" t="s">
        <v>35</v>
      </c>
      <c r="J297" t="s">
        <v>35</v>
      </c>
      <c r="K297" t="s">
        <v>35</v>
      </c>
      <c r="L297" t="s">
        <v>35</v>
      </c>
      <c r="M297" t="s">
        <v>37</v>
      </c>
      <c r="N297" t="s">
        <v>35</v>
      </c>
      <c r="O297" t="str">
        <f t="shared" si="10"/>
        <v>False</v>
      </c>
      <c r="P297" s="3">
        <v>117750</v>
      </c>
      <c r="Q297" s="3">
        <v>3592.9377846000002</v>
      </c>
      <c r="R297" s="3">
        <v>235.7016650999999</v>
      </c>
      <c r="S297" s="3">
        <v>12379.296383999999</v>
      </c>
      <c r="T297" s="3">
        <v>26.567207999999969</v>
      </c>
      <c r="U297">
        <v>2.4049002123142298E-2</v>
      </c>
      <c r="V297" s="3">
        <v>-112504.622538</v>
      </c>
      <c r="W297">
        <v>448.96673634275828</v>
      </c>
      <c r="X297">
        <v>13.54203334</v>
      </c>
      <c r="Y297">
        <v>0.62620027</v>
      </c>
      <c r="Z297" s="5">
        <v>4.4197483415153803E-2</v>
      </c>
      <c r="AA297">
        <v>12.66794512628625</v>
      </c>
      <c r="AB297">
        <v>93.754900000000006</v>
      </c>
      <c r="AC297">
        <v>2.8317700000000059</v>
      </c>
      <c r="AD297" s="5">
        <v>2.9318434935172701E-2</v>
      </c>
      <c r="AE297">
        <v>87.70336763330215</v>
      </c>
      <c r="AF297">
        <v>2.64898971000936</v>
      </c>
      <c r="AG297">
        <v>0.58578135640786222</v>
      </c>
      <c r="AH297" t="str">
        <f t="shared" si="9"/>
        <v>False</v>
      </c>
      <c r="AI297">
        <v>0</v>
      </c>
    </row>
    <row r="298" spans="1:35" x14ac:dyDescent="0.35">
      <c r="A298" t="s">
        <v>368</v>
      </c>
      <c r="B298" t="s">
        <v>362</v>
      </c>
      <c r="C298" t="s">
        <v>232</v>
      </c>
      <c r="D298" t="s">
        <v>39</v>
      </c>
      <c r="E298" t="s">
        <v>52</v>
      </c>
      <c r="F298" t="s">
        <v>39</v>
      </c>
      <c r="G298" t="s">
        <v>37</v>
      </c>
      <c r="H298" t="s">
        <v>35</v>
      </c>
      <c r="I298" t="s">
        <v>37</v>
      </c>
      <c r="J298" t="s">
        <v>35</v>
      </c>
      <c r="K298" t="s">
        <v>35</v>
      </c>
      <c r="L298" t="s">
        <v>35</v>
      </c>
      <c r="M298" t="s">
        <v>35</v>
      </c>
      <c r="N298" t="s">
        <v>35</v>
      </c>
      <c r="O298" t="str">
        <f t="shared" si="10"/>
        <v>True</v>
      </c>
      <c r="P298" s="3">
        <v>268951.2</v>
      </c>
      <c r="Q298" s="3">
        <v>1430.9208332999999</v>
      </c>
      <c r="R298" s="3">
        <v>2397.7186164</v>
      </c>
      <c r="S298" s="3">
        <v>12129.902163000001</v>
      </c>
      <c r="T298" s="3">
        <v>275.96142899999961</v>
      </c>
      <c r="U298">
        <v>0.1071971049023019</v>
      </c>
      <c r="V298" s="3">
        <v>-215477.59909199999</v>
      </c>
      <c r="W298">
        <v>100.59214095670271</v>
      </c>
      <c r="X298">
        <v>7.7961930399999986</v>
      </c>
      <c r="Y298">
        <v>6.3720405700000002</v>
      </c>
      <c r="Z298" s="5">
        <v>0.4497413541729427</v>
      </c>
      <c r="AA298">
        <v>7.2929775865294664</v>
      </c>
      <c r="AB298">
        <v>67.755880000000005</v>
      </c>
      <c r="AC298">
        <v>28.83078999999999</v>
      </c>
      <c r="AD298" s="5">
        <v>0.29849657307783772</v>
      </c>
      <c r="AE298">
        <v>63.382488306828819</v>
      </c>
      <c r="AF298">
        <v>26.969869036482692</v>
      </c>
      <c r="AG298">
        <v>5.9607488961646444</v>
      </c>
      <c r="AH298" t="str">
        <f t="shared" si="9"/>
        <v>True</v>
      </c>
      <c r="AI298">
        <v>3</v>
      </c>
    </row>
    <row r="299" spans="1:35" x14ac:dyDescent="0.35">
      <c r="A299" t="s">
        <v>369</v>
      </c>
      <c r="B299" t="s">
        <v>362</v>
      </c>
      <c r="C299" t="s">
        <v>232</v>
      </c>
      <c r="D299" t="s">
        <v>39</v>
      </c>
      <c r="E299" t="s">
        <v>52</v>
      </c>
      <c r="F299" t="s">
        <v>39</v>
      </c>
      <c r="G299" t="s">
        <v>37</v>
      </c>
      <c r="H299" t="s">
        <v>35</v>
      </c>
      <c r="I299" t="s">
        <v>35</v>
      </c>
      <c r="J299" t="s">
        <v>35</v>
      </c>
      <c r="K299" t="s">
        <v>35</v>
      </c>
      <c r="L299" t="s">
        <v>35</v>
      </c>
      <c r="M299" t="s">
        <v>35</v>
      </c>
      <c r="N299" t="s">
        <v>37</v>
      </c>
      <c r="O299" t="str">
        <f t="shared" si="10"/>
        <v>True</v>
      </c>
      <c r="P299" s="3">
        <v>74743.08</v>
      </c>
      <c r="Q299" s="3">
        <v>1923.3364383000001</v>
      </c>
      <c r="R299" s="3">
        <v>1905.3030114000001</v>
      </c>
      <c r="S299" s="3">
        <v>12186.622584000001</v>
      </c>
      <c r="T299" s="3">
        <v>219.24100799999999</v>
      </c>
      <c r="U299">
        <v>0.3065121212559076</v>
      </c>
      <c r="V299" s="3">
        <v>-32252.199612000011</v>
      </c>
      <c r="W299">
        <v>35.180763174353281</v>
      </c>
      <c r="X299">
        <v>9.1048243099999997</v>
      </c>
      <c r="Y299">
        <v>5.0634092999999982</v>
      </c>
      <c r="Z299" s="5">
        <v>0.35737759832151711</v>
      </c>
      <c r="AA299">
        <v>8.5171415434985978</v>
      </c>
      <c r="AB299">
        <v>73.677009999999996</v>
      </c>
      <c r="AC299">
        <v>22.909659999999999</v>
      </c>
      <c r="AD299" s="5">
        <v>0.2371927720460805</v>
      </c>
      <c r="AE299">
        <v>68.92143124415341</v>
      </c>
      <c r="AF299">
        <v>21.4309260991581</v>
      </c>
      <c r="AG299">
        <v>4.736584939195513</v>
      </c>
      <c r="AH299" t="str">
        <f t="shared" si="9"/>
        <v>True</v>
      </c>
      <c r="AI299">
        <v>3</v>
      </c>
    </row>
    <row r="300" spans="1:35" x14ac:dyDescent="0.35">
      <c r="A300" t="s">
        <v>370</v>
      </c>
      <c r="B300" t="s">
        <v>362</v>
      </c>
      <c r="C300" t="s">
        <v>232</v>
      </c>
      <c r="D300" t="s">
        <v>39</v>
      </c>
      <c r="E300" t="s">
        <v>52</v>
      </c>
      <c r="F300" t="s">
        <v>39</v>
      </c>
      <c r="G300" t="s">
        <v>37</v>
      </c>
      <c r="H300" t="s">
        <v>35</v>
      </c>
      <c r="I300" t="s">
        <v>37</v>
      </c>
      <c r="J300" t="s">
        <v>35</v>
      </c>
      <c r="K300" t="s">
        <v>35</v>
      </c>
      <c r="L300" t="s">
        <v>35</v>
      </c>
      <c r="M300" t="s">
        <v>35</v>
      </c>
      <c r="N300" t="s">
        <v>37</v>
      </c>
      <c r="O300" t="str">
        <f t="shared" si="10"/>
        <v>True</v>
      </c>
      <c r="P300" s="3">
        <v>283640.15999999997</v>
      </c>
      <c r="Q300" s="3">
        <v>1430.9217000000001</v>
      </c>
      <c r="R300" s="3">
        <v>2397.7177496999998</v>
      </c>
      <c r="S300" s="3">
        <v>12129.902163000001</v>
      </c>
      <c r="T300" s="3">
        <v>275.96142899999961</v>
      </c>
      <c r="U300">
        <v>0.1016456202816977</v>
      </c>
      <c r="V300" s="3">
        <v>-230166.57642600001</v>
      </c>
      <c r="W300">
        <v>106.0860862663081</v>
      </c>
      <c r="X300">
        <v>7.7961953099999999</v>
      </c>
      <c r="Y300">
        <v>6.3720382999999998</v>
      </c>
      <c r="Z300" s="5">
        <v>0.44974119395536988</v>
      </c>
      <c r="AA300">
        <v>7.2929797100093543</v>
      </c>
      <c r="AB300">
        <v>67.755890000000008</v>
      </c>
      <c r="AC300">
        <v>28.83077999999999</v>
      </c>
      <c r="AD300" s="5">
        <v>0.29849646954388209</v>
      </c>
      <c r="AE300">
        <v>63.382497661365782</v>
      </c>
      <c r="AF300">
        <v>26.969859681945739</v>
      </c>
      <c r="AG300">
        <v>5.9607467726847574</v>
      </c>
      <c r="AH300" t="str">
        <f t="shared" si="9"/>
        <v>True</v>
      </c>
      <c r="AI300">
        <v>3</v>
      </c>
    </row>
    <row r="301" spans="1:35" x14ac:dyDescent="0.35">
      <c r="A301" t="s">
        <v>371</v>
      </c>
      <c r="B301" t="s">
        <v>362</v>
      </c>
      <c r="C301" t="s">
        <v>232</v>
      </c>
      <c r="D301" t="s">
        <v>39</v>
      </c>
      <c r="E301" t="s">
        <v>52</v>
      </c>
      <c r="F301" t="s">
        <v>39</v>
      </c>
      <c r="G301" t="s">
        <v>37</v>
      </c>
      <c r="H301" t="s">
        <v>35</v>
      </c>
      <c r="I301" t="s">
        <v>37</v>
      </c>
      <c r="J301" t="s">
        <v>35</v>
      </c>
      <c r="K301" t="s">
        <v>35</v>
      </c>
      <c r="L301" t="s">
        <v>35</v>
      </c>
      <c r="M301" t="s">
        <v>37</v>
      </c>
      <c r="N301" t="s">
        <v>35</v>
      </c>
      <c r="O301" t="str">
        <f t="shared" si="10"/>
        <v>True</v>
      </c>
      <c r="P301" s="3">
        <v>386701.2</v>
      </c>
      <c r="Q301" s="3">
        <v>1313.4907836</v>
      </c>
      <c r="R301" s="3">
        <v>2515.1486660999999</v>
      </c>
      <c r="S301" s="3">
        <v>12116.618559</v>
      </c>
      <c r="T301" s="3">
        <v>289.24503299999952</v>
      </c>
      <c r="U301">
        <v>7.8204618966788694E-2</v>
      </c>
      <c r="V301" s="3">
        <v>-330613.32601800002</v>
      </c>
      <c r="W301">
        <v>137.8911955636265</v>
      </c>
      <c r="X301">
        <v>7.4841949900000007</v>
      </c>
      <c r="Y301">
        <v>6.684038619999999</v>
      </c>
      <c r="Z301" s="5">
        <v>0.47176231024892018</v>
      </c>
      <c r="AA301">
        <v>7.0011178578110389</v>
      </c>
      <c r="AB301">
        <v>66.344850000000008</v>
      </c>
      <c r="AC301">
        <v>30.24181999999999</v>
      </c>
      <c r="AD301" s="5">
        <v>0.31310552480999698</v>
      </c>
      <c r="AE301">
        <v>62.062535079513573</v>
      </c>
      <c r="AF301">
        <v>28.28982226379793</v>
      </c>
      <c r="AG301">
        <v>6.2526086248830719</v>
      </c>
      <c r="AH301" t="str">
        <f t="shared" si="9"/>
        <v>True</v>
      </c>
      <c r="AI301">
        <v>3</v>
      </c>
    </row>
    <row r="302" spans="1:35" x14ac:dyDescent="0.35">
      <c r="A302" t="s">
        <v>372</v>
      </c>
      <c r="B302" t="s">
        <v>362</v>
      </c>
      <c r="C302" t="s">
        <v>232</v>
      </c>
      <c r="D302" t="s">
        <v>39</v>
      </c>
      <c r="E302" t="s">
        <v>52</v>
      </c>
      <c r="F302" t="s">
        <v>39</v>
      </c>
      <c r="G302" t="s">
        <v>37</v>
      </c>
      <c r="H302" t="s">
        <v>35</v>
      </c>
      <c r="I302" t="s">
        <v>37</v>
      </c>
      <c r="J302" t="s">
        <v>35</v>
      </c>
      <c r="K302" t="s">
        <v>35</v>
      </c>
      <c r="L302" t="s">
        <v>35</v>
      </c>
      <c r="M302" t="s">
        <v>37</v>
      </c>
      <c r="N302" t="s">
        <v>37</v>
      </c>
      <c r="O302" t="str">
        <f t="shared" si="10"/>
        <v>True</v>
      </c>
      <c r="P302" s="3">
        <v>400809.84</v>
      </c>
      <c r="Q302" s="3">
        <v>1313.4907836</v>
      </c>
      <c r="R302" s="3">
        <v>2515.1486660999999</v>
      </c>
      <c r="S302" s="3">
        <v>12116.618559</v>
      </c>
      <c r="T302" s="3">
        <v>289.24503299999952</v>
      </c>
      <c r="U302">
        <v>7.5451790305347696E-2</v>
      </c>
      <c r="V302" s="3">
        <v>-344721.96601799998</v>
      </c>
      <c r="W302">
        <v>142.92210117596181</v>
      </c>
      <c r="X302">
        <v>7.4841949900000007</v>
      </c>
      <c r="Y302">
        <v>6.684038619999999</v>
      </c>
      <c r="Z302" s="5">
        <v>0.47176231024892018</v>
      </c>
      <c r="AA302">
        <v>7.0011178578110389</v>
      </c>
      <c r="AB302">
        <v>66.344850000000008</v>
      </c>
      <c r="AC302">
        <v>30.24181999999999</v>
      </c>
      <c r="AD302" s="5">
        <v>0.31310552480999698</v>
      </c>
      <c r="AE302">
        <v>62.062535079513573</v>
      </c>
      <c r="AF302">
        <v>28.28982226379793</v>
      </c>
      <c r="AG302">
        <v>6.2526086248830719</v>
      </c>
      <c r="AH302" t="str">
        <f t="shared" si="9"/>
        <v>True</v>
      </c>
      <c r="AI302">
        <v>3</v>
      </c>
    </row>
    <row r="303" spans="1:35" x14ac:dyDescent="0.35">
      <c r="A303" t="s">
        <v>373</v>
      </c>
      <c r="B303" t="s">
        <v>362</v>
      </c>
      <c r="C303" t="s">
        <v>232</v>
      </c>
      <c r="D303" t="s">
        <v>39</v>
      </c>
      <c r="E303" t="s">
        <v>52</v>
      </c>
      <c r="F303" t="s">
        <v>39</v>
      </c>
      <c r="G303" t="s">
        <v>35</v>
      </c>
      <c r="H303" t="s">
        <v>37</v>
      </c>
      <c r="I303" t="s">
        <v>37</v>
      </c>
      <c r="J303" t="s">
        <v>35</v>
      </c>
      <c r="K303" t="s">
        <v>35</v>
      </c>
      <c r="L303" t="s">
        <v>35</v>
      </c>
      <c r="M303" t="s">
        <v>35</v>
      </c>
      <c r="N303" t="s">
        <v>35</v>
      </c>
      <c r="O303" t="str">
        <f t="shared" si="10"/>
        <v>True</v>
      </c>
      <c r="P303" s="3">
        <v>349636.6</v>
      </c>
      <c r="Q303" s="3">
        <v>1923.2073</v>
      </c>
      <c r="R303" s="3">
        <v>1905.4321497000001</v>
      </c>
      <c r="S303" s="3">
        <v>12187.683000000001</v>
      </c>
      <c r="T303" s="3">
        <v>218.18059199999979</v>
      </c>
      <c r="U303">
        <v>6.55156525375203E-2</v>
      </c>
      <c r="V303" s="3">
        <v>-307164.34516600001</v>
      </c>
      <c r="W303">
        <v>164.6423536336988</v>
      </c>
      <c r="X303">
        <v>9.1048399999999994</v>
      </c>
      <c r="Y303">
        <v>5.0633936100000003</v>
      </c>
      <c r="Z303" s="5">
        <v>0.35737649091459328</v>
      </c>
      <c r="AA303">
        <v>8.5171562207670721</v>
      </c>
      <c r="AB303">
        <v>73.680000000000007</v>
      </c>
      <c r="AC303">
        <v>22.906669999999991</v>
      </c>
      <c r="AD303" s="5">
        <v>0.23716181539336631</v>
      </c>
      <c r="AE303">
        <v>68.924228250701589</v>
      </c>
      <c r="AF303">
        <v>21.428129092609911</v>
      </c>
      <c r="AG303">
        <v>4.7365702619270387</v>
      </c>
      <c r="AH303" t="str">
        <f t="shared" si="9"/>
        <v>True</v>
      </c>
      <c r="AI303">
        <v>3</v>
      </c>
    </row>
    <row r="304" spans="1:35" x14ac:dyDescent="0.35">
      <c r="A304" t="s">
        <v>374</v>
      </c>
      <c r="B304" t="s">
        <v>362</v>
      </c>
      <c r="C304" t="s">
        <v>232</v>
      </c>
      <c r="D304" t="s">
        <v>39</v>
      </c>
      <c r="E304" t="s">
        <v>52</v>
      </c>
      <c r="F304" t="s">
        <v>39</v>
      </c>
      <c r="G304" t="s">
        <v>35</v>
      </c>
      <c r="H304" t="s">
        <v>37</v>
      </c>
      <c r="I304" t="s">
        <v>37</v>
      </c>
      <c r="J304" t="s">
        <v>35</v>
      </c>
      <c r="K304" t="s">
        <v>35</v>
      </c>
      <c r="L304" t="s">
        <v>37</v>
      </c>
      <c r="M304" t="s">
        <v>35</v>
      </c>
      <c r="N304" t="s">
        <v>35</v>
      </c>
      <c r="O304" t="str">
        <f t="shared" si="10"/>
        <v>True</v>
      </c>
      <c r="P304" s="3">
        <v>435463</v>
      </c>
      <c r="Q304" s="3">
        <v>1430.9217000000001</v>
      </c>
      <c r="R304" s="3">
        <v>2397.7177496999998</v>
      </c>
      <c r="S304" s="3">
        <v>12130.875</v>
      </c>
      <c r="T304" s="3">
        <v>274.98859200000021</v>
      </c>
      <c r="U304">
        <v>6.6197748143929494E-2</v>
      </c>
      <c r="V304" s="3">
        <v>-382008.873166</v>
      </c>
      <c r="W304">
        <v>162.92960928996769</v>
      </c>
      <c r="X304">
        <v>7.796520000000001</v>
      </c>
      <c r="Y304">
        <v>6.3717136099999987</v>
      </c>
      <c r="Z304" s="5">
        <v>0.44971827719602359</v>
      </c>
      <c r="AA304">
        <v>7.2932834424695994</v>
      </c>
      <c r="AB304">
        <v>67.760000000000005</v>
      </c>
      <c r="AC304">
        <v>28.826669999999989</v>
      </c>
      <c r="AD304" s="5">
        <v>0.29845391708814473</v>
      </c>
      <c r="AE304">
        <v>63.386342376052383</v>
      </c>
      <c r="AF304">
        <v>26.96601496725912</v>
      </c>
      <c r="AG304">
        <v>5.9604430402245114</v>
      </c>
      <c r="AH304" t="str">
        <f t="shared" si="9"/>
        <v>True</v>
      </c>
      <c r="AI304">
        <v>3</v>
      </c>
    </row>
    <row r="305" spans="1:35" x14ac:dyDescent="0.35">
      <c r="A305" t="s">
        <v>375</v>
      </c>
      <c r="B305" t="s">
        <v>376</v>
      </c>
      <c r="C305" t="s">
        <v>232</v>
      </c>
      <c r="D305" t="s">
        <v>283</v>
      </c>
      <c r="E305" t="s">
        <v>283</v>
      </c>
      <c r="F305" t="s">
        <v>283</v>
      </c>
      <c r="G305" t="s">
        <v>35</v>
      </c>
      <c r="H305" t="s">
        <v>35</v>
      </c>
      <c r="I305" t="s">
        <v>35</v>
      </c>
      <c r="J305" t="s">
        <v>35</v>
      </c>
      <c r="K305" t="s">
        <v>35</v>
      </c>
      <c r="L305" t="s">
        <v>35</v>
      </c>
      <c r="M305" t="s">
        <v>35</v>
      </c>
      <c r="N305" t="s">
        <v>35</v>
      </c>
      <c r="O305" t="str">
        <f t="shared" si="10"/>
        <v>False</v>
      </c>
      <c r="P305" s="3">
        <v>0</v>
      </c>
      <c r="Q305" s="3">
        <v>27608.451155999999</v>
      </c>
      <c r="R305" s="3">
        <v>0</v>
      </c>
      <c r="S305" s="3">
        <v>18755.395925000001</v>
      </c>
      <c r="T305" s="3">
        <v>0</v>
      </c>
      <c r="U305">
        <v>0</v>
      </c>
      <c r="V305" s="3">
        <v>0</v>
      </c>
      <c r="W305">
        <v>0</v>
      </c>
      <c r="X305">
        <v>79.812281970000015</v>
      </c>
      <c r="Y305">
        <v>0</v>
      </c>
      <c r="Z305" s="5">
        <v>0</v>
      </c>
      <c r="AA305">
        <v>46.783283686987112</v>
      </c>
      <c r="AB305">
        <v>413.51083</v>
      </c>
      <c r="AC305">
        <v>0</v>
      </c>
      <c r="AD305" s="5">
        <v>0</v>
      </c>
      <c r="AE305">
        <v>242.38618405627199</v>
      </c>
      <c r="AF305">
        <v>0</v>
      </c>
      <c r="AG305">
        <v>0</v>
      </c>
      <c r="AH305" t="str">
        <f t="shared" si="9"/>
        <v>False</v>
      </c>
      <c r="AI305">
        <v>0</v>
      </c>
    </row>
    <row r="306" spans="1:35" x14ac:dyDescent="0.35">
      <c r="A306" t="s">
        <v>377</v>
      </c>
      <c r="B306" t="s">
        <v>376</v>
      </c>
      <c r="C306" t="s">
        <v>232</v>
      </c>
      <c r="D306" t="s">
        <v>34</v>
      </c>
      <c r="E306" t="s">
        <v>34</v>
      </c>
      <c r="F306" t="s">
        <v>34</v>
      </c>
      <c r="G306" t="s">
        <v>37</v>
      </c>
      <c r="H306" t="s">
        <v>35</v>
      </c>
      <c r="I306" t="s">
        <v>35</v>
      </c>
      <c r="J306" t="s">
        <v>35</v>
      </c>
      <c r="K306" t="s">
        <v>35</v>
      </c>
      <c r="L306" t="s">
        <v>35</v>
      </c>
      <c r="M306" t="s">
        <v>35</v>
      </c>
      <c r="N306" t="s">
        <v>35</v>
      </c>
      <c r="O306" t="str">
        <f t="shared" si="10"/>
        <v>False</v>
      </c>
      <c r="P306" s="3">
        <v>69747.91</v>
      </c>
      <c r="Q306" s="3">
        <v>21461.338070999998</v>
      </c>
      <c r="R306" s="3">
        <v>6147.1130850000027</v>
      </c>
      <c r="S306" s="3">
        <v>18164.493699999999</v>
      </c>
      <c r="T306" s="3">
        <v>590.902224999998</v>
      </c>
      <c r="U306">
        <v>1.059779569022212</v>
      </c>
      <c r="V306" s="3">
        <v>65012.396200000017</v>
      </c>
      <c r="W306">
        <v>10.3514027189113</v>
      </c>
      <c r="X306">
        <v>63.475832580000002</v>
      </c>
      <c r="Y306">
        <v>16.336449390000009</v>
      </c>
      <c r="Z306" s="5">
        <v>0.20468590781730289</v>
      </c>
      <c r="AA306">
        <v>37.207404794841743</v>
      </c>
      <c r="AB306">
        <v>339.59341999999998</v>
      </c>
      <c r="AC306">
        <v>73.917410000000018</v>
      </c>
      <c r="AD306" s="5">
        <v>0.17875568095761851</v>
      </c>
      <c r="AE306">
        <v>199.0582766705744</v>
      </c>
      <c r="AF306">
        <v>43.32790738569755</v>
      </c>
      <c r="AG306">
        <v>9.5758788921453757</v>
      </c>
      <c r="AH306" t="str">
        <f t="shared" si="9"/>
        <v>True</v>
      </c>
      <c r="AI306">
        <v>3</v>
      </c>
    </row>
    <row r="307" spans="1:35" x14ac:dyDescent="0.35">
      <c r="A307" t="s">
        <v>378</v>
      </c>
      <c r="B307" t="s">
        <v>376</v>
      </c>
      <c r="C307" t="s">
        <v>232</v>
      </c>
      <c r="D307" t="s">
        <v>34</v>
      </c>
      <c r="E307" t="s">
        <v>34</v>
      </c>
      <c r="F307" t="s">
        <v>34</v>
      </c>
      <c r="G307" t="s">
        <v>35</v>
      </c>
      <c r="H307" t="s">
        <v>37</v>
      </c>
      <c r="I307" t="s">
        <v>35</v>
      </c>
      <c r="J307" t="s">
        <v>35</v>
      </c>
      <c r="K307" t="s">
        <v>35</v>
      </c>
      <c r="L307" t="s">
        <v>35</v>
      </c>
      <c r="M307" t="s">
        <v>35</v>
      </c>
      <c r="N307" t="s">
        <v>35</v>
      </c>
      <c r="O307" t="str">
        <f t="shared" si="10"/>
        <v>False</v>
      </c>
      <c r="P307" s="3">
        <v>167395</v>
      </c>
      <c r="Q307" s="3">
        <v>21461.346738</v>
      </c>
      <c r="R307" s="3">
        <v>6147.1044180000026</v>
      </c>
      <c r="S307" s="3">
        <v>18164.493699999999</v>
      </c>
      <c r="T307" s="3">
        <v>590.902224999998</v>
      </c>
      <c r="U307">
        <v>0.44157418082977379</v>
      </c>
      <c r="V307" s="3">
        <v>-32634.867139999991</v>
      </c>
      <c r="W307">
        <v>24.843400855637888</v>
      </c>
      <c r="X307">
        <v>63.475855279999998</v>
      </c>
      <c r="Y307">
        <v>16.33642669000001</v>
      </c>
      <c r="Z307" s="5">
        <v>0.20468562339992449</v>
      </c>
      <c r="AA307">
        <v>37.207418100820632</v>
      </c>
      <c r="AB307">
        <v>339.59352000000001</v>
      </c>
      <c r="AC307">
        <v>73.917309999999986</v>
      </c>
      <c r="AD307" s="5">
        <v>0.17875543912598371</v>
      </c>
      <c r="AE307">
        <v>199.05833528722161</v>
      </c>
      <c r="AF307">
        <v>43.327848769050398</v>
      </c>
      <c r="AG307">
        <v>9.5758655861664792</v>
      </c>
      <c r="AH307" t="str">
        <f t="shared" si="9"/>
        <v>False</v>
      </c>
      <c r="AI307">
        <v>4</v>
      </c>
    </row>
    <row r="308" spans="1:35" x14ac:dyDescent="0.35">
      <c r="A308" t="s">
        <v>379</v>
      </c>
      <c r="B308" t="s">
        <v>376</v>
      </c>
      <c r="C308" t="s">
        <v>232</v>
      </c>
      <c r="D308" t="s">
        <v>283</v>
      </c>
      <c r="E308" t="s">
        <v>34</v>
      </c>
      <c r="F308" t="s">
        <v>283</v>
      </c>
      <c r="G308" t="s">
        <v>35</v>
      </c>
      <c r="H308" t="s">
        <v>35</v>
      </c>
      <c r="I308" t="s">
        <v>35</v>
      </c>
      <c r="J308" t="s">
        <v>35</v>
      </c>
      <c r="K308" t="s">
        <v>35</v>
      </c>
      <c r="L308" t="s">
        <v>37</v>
      </c>
      <c r="M308" t="s">
        <v>35</v>
      </c>
      <c r="N308" t="s">
        <v>35</v>
      </c>
      <c r="O308" t="str">
        <f t="shared" si="10"/>
        <v>False</v>
      </c>
      <c r="P308" s="3">
        <v>142300.20000000001</v>
      </c>
      <c r="Q308" s="3">
        <v>25174.835558999999</v>
      </c>
      <c r="R308" s="3">
        <v>2433.6155970000041</v>
      </c>
      <c r="S308" s="3">
        <v>18521.1234</v>
      </c>
      <c r="T308" s="3">
        <v>234.27252499999929</v>
      </c>
      <c r="U308">
        <v>0.20565881144228881</v>
      </c>
      <c r="V308" s="3">
        <v>-88942.437559999948</v>
      </c>
      <c r="W308">
        <v>53.338143689969861</v>
      </c>
      <c r="X308">
        <v>73.344617260000007</v>
      </c>
      <c r="Y308">
        <v>6.4676647100000082</v>
      </c>
      <c r="Z308" s="5">
        <v>8.1035957754360205E-2</v>
      </c>
      <c r="AA308">
        <v>42.992155486518179</v>
      </c>
      <c r="AB308">
        <v>384.24554000000001</v>
      </c>
      <c r="AC308">
        <v>29.26528999999999</v>
      </c>
      <c r="AD308" s="5">
        <v>7.07727292172734E-2</v>
      </c>
      <c r="AE308">
        <v>225.23185228604919</v>
      </c>
      <c r="AF308">
        <v>17.15433177022274</v>
      </c>
      <c r="AG308">
        <v>3.7911282004689331</v>
      </c>
      <c r="AH308" t="str">
        <f t="shared" si="9"/>
        <v>False</v>
      </c>
      <c r="AI308">
        <v>5</v>
      </c>
    </row>
    <row r="309" spans="1:35" x14ac:dyDescent="0.35">
      <c r="A309" t="s">
        <v>380</v>
      </c>
      <c r="B309" t="s">
        <v>376</v>
      </c>
      <c r="C309" t="s">
        <v>232</v>
      </c>
      <c r="D309" t="s">
        <v>283</v>
      </c>
      <c r="E309" t="s">
        <v>34</v>
      </c>
      <c r="F309" t="s">
        <v>283</v>
      </c>
      <c r="G309" t="s">
        <v>35</v>
      </c>
      <c r="H309" t="s">
        <v>35</v>
      </c>
      <c r="I309" t="s">
        <v>37</v>
      </c>
      <c r="J309" t="s">
        <v>35</v>
      </c>
      <c r="K309" t="s">
        <v>35</v>
      </c>
      <c r="L309" t="s">
        <v>35</v>
      </c>
      <c r="M309" t="s">
        <v>35</v>
      </c>
      <c r="N309" t="s">
        <v>35</v>
      </c>
      <c r="O309" t="str">
        <f t="shared" si="10"/>
        <v>False</v>
      </c>
      <c r="P309" s="3">
        <v>305562.3</v>
      </c>
      <c r="Q309" s="3">
        <v>25493.070465000001</v>
      </c>
      <c r="R309" s="3">
        <v>2115.3806910000021</v>
      </c>
      <c r="S309" s="3">
        <v>18551.702324999998</v>
      </c>
      <c r="T309" s="3">
        <v>203.6935999999985</v>
      </c>
      <c r="U309">
        <v>8.3251958765855505E-2</v>
      </c>
      <c r="V309" s="3">
        <v>-259180.81417999999</v>
      </c>
      <c r="W309">
        <v>131.7604620023792</v>
      </c>
      <c r="X309">
        <v>74.190347430000003</v>
      </c>
      <c r="Y309">
        <v>5.6219345400000122</v>
      </c>
      <c r="Z309" s="5">
        <v>7.0439466222920299E-2</v>
      </c>
      <c r="AA309">
        <v>43.487894155920287</v>
      </c>
      <c r="AB309">
        <v>388.07217000000003</v>
      </c>
      <c r="AC309">
        <v>25.43865999999997</v>
      </c>
      <c r="AD309" s="5">
        <v>6.1518727332969599E-2</v>
      </c>
      <c r="AE309">
        <v>227.47489449003521</v>
      </c>
      <c r="AF309">
        <v>14.911289566236791</v>
      </c>
      <c r="AG309">
        <v>3.295389531066824</v>
      </c>
      <c r="AH309" t="str">
        <f t="shared" si="9"/>
        <v>True</v>
      </c>
      <c r="AI309">
        <v>2</v>
      </c>
    </row>
    <row r="310" spans="1:35" x14ac:dyDescent="0.35">
      <c r="A310" t="s">
        <v>381</v>
      </c>
      <c r="B310" t="s">
        <v>376</v>
      </c>
      <c r="C310" t="s">
        <v>232</v>
      </c>
      <c r="D310" t="s">
        <v>283</v>
      </c>
      <c r="E310" t="s">
        <v>34</v>
      </c>
      <c r="F310" t="s">
        <v>283</v>
      </c>
      <c r="G310" t="s">
        <v>35</v>
      </c>
      <c r="H310" t="s">
        <v>35</v>
      </c>
      <c r="I310" t="s">
        <v>35</v>
      </c>
      <c r="J310" t="s">
        <v>35</v>
      </c>
      <c r="K310" t="s">
        <v>35</v>
      </c>
      <c r="L310" t="s">
        <v>35</v>
      </c>
      <c r="M310" t="s">
        <v>35</v>
      </c>
      <c r="N310" t="s">
        <v>37</v>
      </c>
      <c r="O310" t="str">
        <f t="shared" si="10"/>
        <v>False</v>
      </c>
      <c r="P310" s="3">
        <v>27440.102579999999</v>
      </c>
      <c r="Q310" s="3">
        <v>24847.664976</v>
      </c>
      <c r="R310" s="3">
        <v>2760.7861800000042</v>
      </c>
      <c r="S310" s="3">
        <v>18489.555</v>
      </c>
      <c r="T310" s="3">
        <v>265.8409249999998</v>
      </c>
      <c r="U310">
        <v>1.209909106688188</v>
      </c>
      <c r="V310" s="3">
        <v>33092.439520000073</v>
      </c>
      <c r="W310">
        <v>9.0662316922586221</v>
      </c>
      <c r="X310">
        <v>72.475087599999995</v>
      </c>
      <c r="Y310">
        <v>7.3371943700000202</v>
      </c>
      <c r="Z310" s="5">
        <v>9.1930642614102095E-2</v>
      </c>
      <c r="AA310">
        <v>42.482466354044547</v>
      </c>
      <c r="AB310">
        <v>380.31079999999997</v>
      </c>
      <c r="AC310">
        <v>33.200030000000027</v>
      </c>
      <c r="AD310" s="5">
        <v>8.02881752818905E-2</v>
      </c>
      <c r="AE310">
        <v>222.92543962485351</v>
      </c>
      <c r="AF310">
        <v>19.46074443141854</v>
      </c>
      <c r="AG310">
        <v>4.3008173329425654</v>
      </c>
      <c r="AH310" t="str">
        <f t="shared" si="9"/>
        <v>False</v>
      </c>
      <c r="AI310">
        <v>0</v>
      </c>
    </row>
    <row r="311" spans="1:35" x14ac:dyDescent="0.35">
      <c r="A311" t="s">
        <v>382</v>
      </c>
      <c r="B311" t="s">
        <v>376</v>
      </c>
      <c r="C311" t="s">
        <v>232</v>
      </c>
      <c r="D311" t="s">
        <v>34</v>
      </c>
      <c r="E311" t="s">
        <v>34</v>
      </c>
      <c r="F311" t="s">
        <v>34</v>
      </c>
      <c r="G311" t="s">
        <v>35</v>
      </c>
      <c r="H311" t="s">
        <v>35</v>
      </c>
      <c r="I311" t="s">
        <v>35</v>
      </c>
      <c r="J311" t="s">
        <v>35</v>
      </c>
      <c r="K311" t="s">
        <v>35</v>
      </c>
      <c r="L311" t="s">
        <v>35</v>
      </c>
      <c r="M311" t="s">
        <v>37</v>
      </c>
      <c r="N311" t="s">
        <v>35</v>
      </c>
      <c r="O311" t="str">
        <f t="shared" si="10"/>
        <v>False</v>
      </c>
      <c r="P311" s="3">
        <v>185150</v>
      </c>
      <c r="Q311" s="3">
        <v>20875.102191000002</v>
      </c>
      <c r="R311" s="3">
        <v>6733.348965000001</v>
      </c>
      <c r="S311" s="3">
        <v>18107.013299999999</v>
      </c>
      <c r="T311" s="3">
        <v>648.38262499999996</v>
      </c>
      <c r="U311">
        <v>0.43733432352146889</v>
      </c>
      <c r="V311" s="3">
        <v>-37515.368199999968</v>
      </c>
      <c r="W311">
        <v>25.082190776324339</v>
      </c>
      <c r="X311">
        <v>61.917412420000012</v>
      </c>
      <c r="Y311">
        <v>17.89486955000001</v>
      </c>
      <c r="Z311" s="5">
        <v>0.22421197725841699</v>
      </c>
      <c r="AA311">
        <v>36.293911148886288</v>
      </c>
      <c r="AB311">
        <v>332.53838000000002</v>
      </c>
      <c r="AC311">
        <v>80.972449999999981</v>
      </c>
      <c r="AD311" s="5">
        <v>0.19581699952090731</v>
      </c>
      <c r="AE311">
        <v>194.9228487690504</v>
      </c>
      <c r="AF311">
        <v>47.463335287221561</v>
      </c>
      <c r="AG311">
        <v>10.48937253810082</v>
      </c>
      <c r="AH311" t="str">
        <f t="shared" si="9"/>
        <v>False</v>
      </c>
      <c r="AI311">
        <v>0</v>
      </c>
    </row>
    <row r="312" spans="1:35" x14ac:dyDescent="0.35">
      <c r="A312" t="s">
        <v>383</v>
      </c>
      <c r="B312" t="s">
        <v>376</v>
      </c>
      <c r="C312" t="s">
        <v>232</v>
      </c>
      <c r="D312" t="s">
        <v>34</v>
      </c>
      <c r="E312" t="s">
        <v>34</v>
      </c>
      <c r="F312" t="s">
        <v>34</v>
      </c>
      <c r="G312" t="s">
        <v>37</v>
      </c>
      <c r="H312" t="s">
        <v>35</v>
      </c>
      <c r="I312" t="s">
        <v>35</v>
      </c>
      <c r="J312" t="s">
        <v>35</v>
      </c>
      <c r="K312" t="s">
        <v>35</v>
      </c>
      <c r="L312" t="s">
        <v>37</v>
      </c>
      <c r="M312" t="s">
        <v>35</v>
      </c>
      <c r="N312" t="s">
        <v>35</v>
      </c>
      <c r="O312" t="str">
        <f t="shared" si="10"/>
        <v>True</v>
      </c>
      <c r="P312" s="3">
        <v>212048.109</v>
      </c>
      <c r="Q312" s="3">
        <v>19123.137477</v>
      </c>
      <c r="R312" s="3">
        <v>8485.3136790000008</v>
      </c>
      <c r="S312" s="3">
        <v>17939.306175000002</v>
      </c>
      <c r="T312" s="3">
        <v>816.08974999999884</v>
      </c>
      <c r="U312">
        <v>0.48119174691626232</v>
      </c>
      <c r="V312" s="3">
        <v>-26020.040420000001</v>
      </c>
      <c r="W312">
        <v>22.79743165841775</v>
      </c>
      <c r="X312">
        <v>57.261706169999997</v>
      </c>
      <c r="Y312">
        <v>22.550575800000018</v>
      </c>
      <c r="Z312" s="5">
        <v>0.28254518281379759</v>
      </c>
      <c r="AA312">
        <v>33.564892245017582</v>
      </c>
      <c r="AB312">
        <v>311.47503</v>
      </c>
      <c r="AC312">
        <v>102.03579999999999</v>
      </c>
      <c r="AD312" s="5">
        <v>0.24675484315610299</v>
      </c>
      <c r="AE312">
        <v>182.57621922626029</v>
      </c>
      <c r="AF312">
        <v>59.809964830011722</v>
      </c>
      <c r="AG312">
        <v>13.21839144196953</v>
      </c>
      <c r="AH312" t="str">
        <f t="shared" si="9"/>
        <v>True</v>
      </c>
      <c r="AI312">
        <v>5</v>
      </c>
    </row>
    <row r="313" spans="1:35" x14ac:dyDescent="0.35">
      <c r="A313" t="s">
        <v>384</v>
      </c>
      <c r="B313" t="s">
        <v>376</v>
      </c>
      <c r="C313" t="s">
        <v>232</v>
      </c>
      <c r="D313" t="s">
        <v>34</v>
      </c>
      <c r="E313" t="s">
        <v>34</v>
      </c>
      <c r="F313" t="s">
        <v>34</v>
      </c>
      <c r="G313" t="s">
        <v>35</v>
      </c>
      <c r="H313" t="s">
        <v>35</v>
      </c>
      <c r="I313" t="s">
        <v>35</v>
      </c>
      <c r="J313" t="s">
        <v>35</v>
      </c>
      <c r="K313" t="s">
        <v>35</v>
      </c>
      <c r="L313" t="s">
        <v>35</v>
      </c>
      <c r="M313" t="s">
        <v>37</v>
      </c>
      <c r="N313" t="s">
        <v>37</v>
      </c>
      <c r="O313" t="str">
        <f t="shared" si="10"/>
        <v>True</v>
      </c>
      <c r="P313" s="3">
        <v>207762.56</v>
      </c>
      <c r="Q313" s="3">
        <v>20875.093524</v>
      </c>
      <c r="R313" s="3">
        <v>6733.3576320000011</v>
      </c>
      <c r="S313" s="3">
        <v>18107.013299999999</v>
      </c>
      <c r="T313" s="3">
        <v>648.38262499999996</v>
      </c>
      <c r="U313">
        <v>0.38973600440810902</v>
      </c>
      <c r="V313" s="3">
        <v>-60127.754859999986</v>
      </c>
      <c r="W313">
        <v>28.145471496776342</v>
      </c>
      <c r="X313">
        <v>61.917389720000003</v>
      </c>
      <c r="Y313">
        <v>17.894892250000009</v>
      </c>
      <c r="Z313" s="5">
        <v>0.22421226167579539</v>
      </c>
      <c r="AA313">
        <v>36.293897842907377</v>
      </c>
      <c r="AB313">
        <v>332.53827999999999</v>
      </c>
      <c r="AC313">
        <v>80.972550000000012</v>
      </c>
      <c r="AD313" s="5">
        <v>0.19581724135254211</v>
      </c>
      <c r="AE313">
        <v>194.92279015240331</v>
      </c>
      <c r="AF313">
        <v>47.463393903868713</v>
      </c>
      <c r="AG313">
        <v>10.489385844079729</v>
      </c>
      <c r="AH313" t="str">
        <f t="shared" si="9"/>
        <v>False</v>
      </c>
      <c r="AI313">
        <v>0</v>
      </c>
    </row>
    <row r="314" spans="1:35" x14ac:dyDescent="0.35">
      <c r="A314" t="s">
        <v>385</v>
      </c>
      <c r="B314" t="s">
        <v>376</v>
      </c>
      <c r="C314" t="s">
        <v>232</v>
      </c>
      <c r="D314" t="s">
        <v>34</v>
      </c>
      <c r="E314" t="s">
        <v>34</v>
      </c>
      <c r="F314" t="s">
        <v>34</v>
      </c>
      <c r="G314" t="s">
        <v>35</v>
      </c>
      <c r="H314" t="s">
        <v>35</v>
      </c>
      <c r="I314" t="s">
        <v>37</v>
      </c>
      <c r="J314" t="s">
        <v>35</v>
      </c>
      <c r="K314" t="s">
        <v>35</v>
      </c>
      <c r="L314" t="s">
        <v>37</v>
      </c>
      <c r="M314" t="s">
        <v>35</v>
      </c>
      <c r="N314" t="s">
        <v>35</v>
      </c>
      <c r="O314" t="str">
        <f t="shared" si="10"/>
        <v>True</v>
      </c>
      <c r="P314" s="3">
        <v>447862.46799999999</v>
      </c>
      <c r="Q314" s="3">
        <v>17134.554995999999</v>
      </c>
      <c r="R314" s="3">
        <v>10473.89616</v>
      </c>
      <c r="S314" s="3">
        <v>17747.679824999999</v>
      </c>
      <c r="T314" s="3">
        <v>1007.7160999999981</v>
      </c>
      <c r="U314">
        <v>0.28122553015538693</v>
      </c>
      <c r="V314" s="3">
        <v>-218230.22279999999</v>
      </c>
      <c r="W314">
        <v>39.006931941107027</v>
      </c>
      <c r="X314">
        <v>51.976699529999998</v>
      </c>
      <c r="Y314">
        <v>27.83558244000001</v>
      </c>
      <c r="Z314" s="5">
        <v>0.34876314463058328</v>
      </c>
      <c r="AA314">
        <v>30.466998552168821</v>
      </c>
      <c r="AB314">
        <v>287.56047000000001</v>
      </c>
      <c r="AC314">
        <v>125.95036</v>
      </c>
      <c r="AD314" s="5">
        <v>0.3045878145440592</v>
      </c>
      <c r="AE314">
        <v>168.55830597889801</v>
      </c>
      <c r="AF314">
        <v>73.827878077373967</v>
      </c>
      <c r="AG314">
        <v>16.31628513481829</v>
      </c>
      <c r="AH314" t="str">
        <f t="shared" si="9"/>
        <v>True</v>
      </c>
      <c r="AI314">
        <v>5</v>
      </c>
    </row>
    <row r="315" spans="1:35" x14ac:dyDescent="0.35">
      <c r="A315" t="s">
        <v>386</v>
      </c>
      <c r="B315" t="s">
        <v>376</v>
      </c>
      <c r="C315" t="s">
        <v>232</v>
      </c>
      <c r="D315" t="s">
        <v>34</v>
      </c>
      <c r="E315" t="s">
        <v>39</v>
      </c>
      <c r="F315" t="s">
        <v>34</v>
      </c>
      <c r="G315" t="s">
        <v>37</v>
      </c>
      <c r="H315" t="s">
        <v>35</v>
      </c>
      <c r="I315" t="s">
        <v>35</v>
      </c>
      <c r="J315" t="s">
        <v>35</v>
      </c>
      <c r="K315" t="s">
        <v>35</v>
      </c>
      <c r="L315" t="s">
        <v>37</v>
      </c>
      <c r="M315" t="s">
        <v>37</v>
      </c>
      <c r="N315" t="s">
        <v>37</v>
      </c>
      <c r="O315" t="str">
        <f t="shared" si="10"/>
        <v>True</v>
      </c>
      <c r="P315" s="3">
        <v>414068.85</v>
      </c>
      <c r="Q315" s="3">
        <v>12868.7616</v>
      </c>
      <c r="R315" s="3">
        <v>14739.689555999999</v>
      </c>
      <c r="S315" s="3">
        <v>17336.909449999999</v>
      </c>
      <c r="T315" s="3">
        <v>1418.486474999999</v>
      </c>
      <c r="U315">
        <v>0.42806651599124163</v>
      </c>
      <c r="V315" s="3">
        <v>-90905.329379999894</v>
      </c>
      <c r="W315">
        <v>25.625964787460848</v>
      </c>
      <c r="X315">
        <v>40.639723779999997</v>
      </c>
      <c r="Y315">
        <v>39.172558190000018</v>
      </c>
      <c r="Z315" s="5">
        <v>0.49080864778085498</v>
      </c>
      <c r="AA315">
        <v>23.82164348182884</v>
      </c>
      <c r="AB315">
        <v>236.26182</v>
      </c>
      <c r="AC315">
        <v>177.24901</v>
      </c>
      <c r="AD315" s="5">
        <v>0.42864417843663249</v>
      </c>
      <c r="AE315">
        <v>138.48875732708089</v>
      </c>
      <c r="AF315">
        <v>103.8974267291911</v>
      </c>
      <c r="AG315">
        <v>22.961640205158272</v>
      </c>
      <c r="AH315" t="str">
        <f t="shared" si="9"/>
        <v>True</v>
      </c>
      <c r="AI315">
        <v>5</v>
      </c>
    </row>
    <row r="316" spans="1:35" x14ac:dyDescent="0.35">
      <c r="A316" t="s">
        <v>387</v>
      </c>
      <c r="B316" t="s">
        <v>388</v>
      </c>
      <c r="C316" t="s">
        <v>33</v>
      </c>
      <c r="D316" t="s">
        <v>281</v>
      </c>
      <c r="E316" t="s">
        <v>39</v>
      </c>
      <c r="F316" t="s">
        <v>281</v>
      </c>
      <c r="G316" t="s">
        <v>35</v>
      </c>
      <c r="H316" t="s">
        <v>35</v>
      </c>
      <c r="I316" t="s">
        <v>35</v>
      </c>
      <c r="J316" t="s">
        <v>35</v>
      </c>
      <c r="K316" t="s">
        <v>35</v>
      </c>
      <c r="L316" t="s">
        <v>35</v>
      </c>
      <c r="M316" t="s">
        <v>35</v>
      </c>
      <c r="N316" t="s">
        <v>35</v>
      </c>
      <c r="O316" t="str">
        <f t="shared" si="10"/>
        <v>False</v>
      </c>
      <c r="P316" s="3">
        <v>0</v>
      </c>
      <c r="Q316" s="3">
        <v>0</v>
      </c>
      <c r="R316" s="3">
        <v>0</v>
      </c>
      <c r="S316" s="3">
        <v>11362.627275000001</v>
      </c>
      <c r="T316" s="3">
        <v>0</v>
      </c>
      <c r="U316">
        <v>0</v>
      </c>
      <c r="V316" s="3">
        <v>0</v>
      </c>
      <c r="W316">
        <v>0</v>
      </c>
      <c r="X316">
        <v>4.5450509099999996</v>
      </c>
      <c r="Y316">
        <v>-8.8817841970012523E-16</v>
      </c>
      <c r="Z316" s="5">
        <v>-1.95416605289494E-16</v>
      </c>
      <c r="AA316">
        <v>13.52693723214286</v>
      </c>
      <c r="AB316">
        <v>57.532290000000003</v>
      </c>
      <c r="AC316">
        <v>0</v>
      </c>
      <c r="AD316" s="5">
        <v>0</v>
      </c>
      <c r="AE316">
        <v>171.2270535714286</v>
      </c>
      <c r="AF316">
        <v>0</v>
      </c>
      <c r="AG316">
        <v>0</v>
      </c>
      <c r="AH316" t="str">
        <f t="shared" si="9"/>
        <v>False</v>
      </c>
      <c r="AI316">
        <v>0</v>
      </c>
    </row>
    <row r="317" spans="1:35" x14ac:dyDescent="0.35">
      <c r="A317" t="s">
        <v>389</v>
      </c>
      <c r="B317" t="s">
        <v>388</v>
      </c>
      <c r="C317" t="s">
        <v>33</v>
      </c>
      <c r="D317" t="s">
        <v>281</v>
      </c>
      <c r="E317" t="s">
        <v>39</v>
      </c>
      <c r="F317" t="s">
        <v>281</v>
      </c>
      <c r="G317" t="s">
        <v>37</v>
      </c>
      <c r="H317" t="s">
        <v>35</v>
      </c>
      <c r="I317" t="s">
        <v>35</v>
      </c>
      <c r="J317" t="s">
        <v>35</v>
      </c>
      <c r="K317" t="s">
        <v>35</v>
      </c>
      <c r="L317" t="s">
        <v>35</v>
      </c>
      <c r="M317" t="s">
        <v>35</v>
      </c>
      <c r="N317" t="s">
        <v>35</v>
      </c>
      <c r="O317" t="str">
        <f t="shared" si="10"/>
        <v>False</v>
      </c>
      <c r="P317" s="3">
        <v>32558.22</v>
      </c>
      <c r="Q317" s="3">
        <v>0</v>
      </c>
      <c r="R317" s="3">
        <v>0</v>
      </c>
      <c r="S317" s="3">
        <v>11091.546675</v>
      </c>
      <c r="T317" s="3">
        <v>271.0806</v>
      </c>
      <c r="U317">
        <v>4.2157095811748903E-2</v>
      </c>
      <c r="V317" s="3">
        <v>-27136.608</v>
      </c>
      <c r="W317">
        <v>120.1053118518994</v>
      </c>
      <c r="X317">
        <v>4.4366186700000014</v>
      </c>
      <c r="Y317">
        <v>0.1084322399999991</v>
      </c>
      <c r="Z317" s="5">
        <v>2.38572113155931E-2</v>
      </c>
      <c r="AA317">
        <v>13.204222232142859</v>
      </c>
      <c r="AB317">
        <v>56.159730000000003</v>
      </c>
      <c r="AC317">
        <v>1.37256</v>
      </c>
      <c r="AD317" s="5">
        <v>2.3857211315593301E-2</v>
      </c>
      <c r="AE317">
        <v>167.14205357142859</v>
      </c>
      <c r="AF317">
        <v>4.085</v>
      </c>
      <c r="AG317">
        <v>0.32271500000000047</v>
      </c>
      <c r="AH317" t="str">
        <f t="shared" si="9"/>
        <v>True</v>
      </c>
      <c r="AI317">
        <v>2</v>
      </c>
    </row>
    <row r="318" spans="1:35" x14ac:dyDescent="0.35">
      <c r="A318" t="s">
        <v>390</v>
      </c>
      <c r="B318" t="s">
        <v>388</v>
      </c>
      <c r="C318" t="s">
        <v>33</v>
      </c>
      <c r="D318" t="s">
        <v>281</v>
      </c>
      <c r="E318" t="s">
        <v>39</v>
      </c>
      <c r="F318" t="s">
        <v>281</v>
      </c>
      <c r="G318" t="s">
        <v>35</v>
      </c>
      <c r="H318" t="s">
        <v>37</v>
      </c>
      <c r="I318" t="s">
        <v>35</v>
      </c>
      <c r="J318" t="s">
        <v>35</v>
      </c>
      <c r="K318" t="s">
        <v>35</v>
      </c>
      <c r="L318" t="s">
        <v>35</v>
      </c>
      <c r="M318" t="s">
        <v>35</v>
      </c>
      <c r="N318" t="s">
        <v>35</v>
      </c>
      <c r="O318" t="str">
        <f t="shared" si="10"/>
        <v>False</v>
      </c>
      <c r="P318" s="3">
        <v>78139.73</v>
      </c>
      <c r="Q318" s="3">
        <v>0</v>
      </c>
      <c r="R318" s="3">
        <v>0</v>
      </c>
      <c r="S318" s="3">
        <v>11363.725375</v>
      </c>
      <c r="T318" s="3">
        <v>-1.098099999999125</v>
      </c>
      <c r="U318">
        <v>-7.115458423001421E-5</v>
      </c>
      <c r="V318" s="3">
        <v>-78161.691999999981</v>
      </c>
      <c r="W318">
        <v>0</v>
      </c>
      <c r="X318">
        <v>4.54549015</v>
      </c>
      <c r="Y318">
        <v>-4.3924000000029997E-4</v>
      </c>
      <c r="Z318" s="5">
        <v>-9.6641381735456964E-5</v>
      </c>
      <c r="AA318">
        <v>13.52824449404762</v>
      </c>
      <c r="AB318">
        <v>57.537849999999999</v>
      </c>
      <c r="AC318">
        <v>-5.5599999999955E-3</v>
      </c>
      <c r="AD318" s="5">
        <v>-9.6641381735292802E-5</v>
      </c>
      <c r="AE318">
        <v>171.2436011904762</v>
      </c>
      <c r="AF318">
        <v>-1.6547619047605801E-2</v>
      </c>
      <c r="AG318">
        <v>-1.307261904758E-3</v>
      </c>
      <c r="AH318" t="str">
        <f t="shared" si="9"/>
        <v>False</v>
      </c>
      <c r="AI318">
        <v>2</v>
      </c>
    </row>
    <row r="319" spans="1:35" x14ac:dyDescent="0.35">
      <c r="A319" t="s">
        <v>391</v>
      </c>
      <c r="B319" t="s">
        <v>388</v>
      </c>
      <c r="C319" t="s">
        <v>33</v>
      </c>
      <c r="D319" t="s">
        <v>283</v>
      </c>
      <c r="E319" t="s">
        <v>39</v>
      </c>
      <c r="F319" t="s">
        <v>283</v>
      </c>
      <c r="G319" t="s">
        <v>35</v>
      </c>
      <c r="H319" t="s">
        <v>35</v>
      </c>
      <c r="I319" t="s">
        <v>35</v>
      </c>
      <c r="J319" t="s">
        <v>35</v>
      </c>
      <c r="K319" t="s">
        <v>35</v>
      </c>
      <c r="L319" t="s">
        <v>37</v>
      </c>
      <c r="M319" t="s">
        <v>35</v>
      </c>
      <c r="N319" t="s">
        <v>35</v>
      </c>
      <c r="O319" t="str">
        <f t="shared" si="10"/>
        <v>False</v>
      </c>
      <c r="P319" s="3">
        <v>68108.460000000006</v>
      </c>
      <c r="Q319" s="3">
        <v>0</v>
      </c>
      <c r="R319" s="3">
        <v>0</v>
      </c>
      <c r="S319" s="3">
        <v>10914.138349999999</v>
      </c>
      <c r="T319" s="3">
        <v>448.48892500000068</v>
      </c>
      <c r="U319">
        <v>3.3341379323508398E-2</v>
      </c>
      <c r="V319" s="3">
        <v>-59138.681499999992</v>
      </c>
      <c r="W319">
        <v>151.86207775364781</v>
      </c>
      <c r="X319">
        <v>4.36565534</v>
      </c>
      <c r="Y319">
        <v>0.17939556999999959</v>
      </c>
      <c r="Z319" s="5">
        <v>3.9470530375203101E-2</v>
      </c>
      <c r="AA319">
        <v>12.993021845238101</v>
      </c>
      <c r="AB319">
        <v>55.26146</v>
      </c>
      <c r="AC319">
        <v>2.2708300000000041</v>
      </c>
      <c r="AD319" s="5">
        <v>3.9470530375203199E-2</v>
      </c>
      <c r="AE319">
        <v>164.46863095238089</v>
      </c>
      <c r="AF319">
        <v>6.7584226190476304</v>
      </c>
      <c r="AG319">
        <v>0.53391538690476459</v>
      </c>
      <c r="AH319" t="str">
        <f t="shared" si="9"/>
        <v>False</v>
      </c>
      <c r="AI319">
        <v>3</v>
      </c>
    </row>
    <row r="320" spans="1:35" x14ac:dyDescent="0.35">
      <c r="A320" t="s">
        <v>392</v>
      </c>
      <c r="B320" t="s">
        <v>388</v>
      </c>
      <c r="C320" t="s">
        <v>33</v>
      </c>
      <c r="D320" t="s">
        <v>283</v>
      </c>
      <c r="E320" t="s">
        <v>39</v>
      </c>
      <c r="F320" t="s">
        <v>283</v>
      </c>
      <c r="G320" t="s">
        <v>35</v>
      </c>
      <c r="H320" t="s">
        <v>35</v>
      </c>
      <c r="I320" t="s">
        <v>37</v>
      </c>
      <c r="J320" t="s">
        <v>35</v>
      </c>
      <c r="K320" t="s">
        <v>35</v>
      </c>
      <c r="L320" t="s">
        <v>35</v>
      </c>
      <c r="M320" t="s">
        <v>35</v>
      </c>
      <c r="N320" t="s">
        <v>35</v>
      </c>
      <c r="O320" t="str">
        <f t="shared" si="10"/>
        <v>False</v>
      </c>
      <c r="P320" s="3">
        <v>137907.4</v>
      </c>
      <c r="Q320" s="3">
        <v>0</v>
      </c>
      <c r="R320" s="3">
        <v>0</v>
      </c>
      <c r="S320" s="3">
        <v>9788.5305499999995</v>
      </c>
      <c r="T320" s="3">
        <v>1574.096725000001</v>
      </c>
      <c r="U320">
        <v>5.7793200364882502E-2</v>
      </c>
      <c r="V320" s="3">
        <v>-106425.46550000001</v>
      </c>
      <c r="W320">
        <v>87.610499284915235</v>
      </c>
      <c r="X320">
        <v>3.9154122199999999</v>
      </c>
      <c r="Y320">
        <v>0.62963868999999972</v>
      </c>
      <c r="Z320" s="5">
        <v>0.13853281348613089</v>
      </c>
      <c r="AA320">
        <v>11.653012559523811</v>
      </c>
      <c r="AB320">
        <v>49.562179999999998</v>
      </c>
      <c r="AC320">
        <v>7.9701100000000054</v>
      </c>
      <c r="AD320" s="5">
        <v>0.13853281348613111</v>
      </c>
      <c r="AE320">
        <v>147.5064880952381</v>
      </c>
      <c r="AF320">
        <v>23.72056547619049</v>
      </c>
      <c r="AG320">
        <v>1.873924672619051</v>
      </c>
      <c r="AH320" t="str">
        <f t="shared" si="9"/>
        <v>True</v>
      </c>
      <c r="AI320">
        <v>1</v>
      </c>
    </row>
    <row r="321" spans="1:35" x14ac:dyDescent="0.35">
      <c r="A321" t="s">
        <v>393</v>
      </c>
      <c r="B321" t="s">
        <v>388</v>
      </c>
      <c r="C321" t="s">
        <v>33</v>
      </c>
      <c r="D321" t="s">
        <v>283</v>
      </c>
      <c r="E321" t="s">
        <v>39</v>
      </c>
      <c r="F321" t="s">
        <v>283</v>
      </c>
      <c r="G321" t="s">
        <v>35</v>
      </c>
      <c r="H321" t="s">
        <v>35</v>
      </c>
      <c r="I321" t="s">
        <v>35</v>
      </c>
      <c r="J321" t="s">
        <v>35</v>
      </c>
      <c r="K321" t="s">
        <v>35</v>
      </c>
      <c r="L321" t="s">
        <v>35</v>
      </c>
      <c r="M321" t="s">
        <v>37</v>
      </c>
      <c r="N321" t="s">
        <v>35</v>
      </c>
      <c r="O321" t="str">
        <f t="shared" si="10"/>
        <v>False</v>
      </c>
      <c r="P321" s="3">
        <v>92083.26</v>
      </c>
      <c r="Q321" s="3">
        <v>0</v>
      </c>
      <c r="R321" s="3">
        <v>0</v>
      </c>
      <c r="S321" s="3">
        <v>9200.0417749999997</v>
      </c>
      <c r="T321" s="3">
        <v>2162.585500000001</v>
      </c>
      <c r="U321">
        <v>0.11891194990272939</v>
      </c>
      <c r="V321" s="3">
        <v>-48831.549999999981</v>
      </c>
      <c r="W321">
        <v>42.580170818679747</v>
      </c>
      <c r="X321">
        <v>3.6800167099999999</v>
      </c>
      <c r="Y321">
        <v>0.86503419999999975</v>
      </c>
      <c r="Z321" s="5">
        <v>0.19032442477085471</v>
      </c>
      <c r="AA321">
        <v>10.95243068452381</v>
      </c>
      <c r="AB321">
        <v>46.58249</v>
      </c>
      <c r="AC321">
        <v>10.9498</v>
      </c>
      <c r="AD321" s="5">
        <v>0.19032442477085479</v>
      </c>
      <c r="AE321">
        <v>138.63836309523811</v>
      </c>
      <c r="AF321">
        <v>32.588690476190493</v>
      </c>
      <c r="AG321">
        <v>2.5745065476190501</v>
      </c>
      <c r="AH321" t="str">
        <f t="shared" si="9"/>
        <v>False</v>
      </c>
      <c r="AI321">
        <v>0</v>
      </c>
    </row>
    <row r="322" spans="1:35" x14ac:dyDescent="0.35">
      <c r="A322" t="s">
        <v>394</v>
      </c>
      <c r="B322" t="s">
        <v>388</v>
      </c>
      <c r="C322" t="s">
        <v>33</v>
      </c>
      <c r="D322" t="s">
        <v>283</v>
      </c>
      <c r="E322" t="s">
        <v>39</v>
      </c>
      <c r="F322" t="s">
        <v>283</v>
      </c>
      <c r="G322" t="s">
        <v>37</v>
      </c>
      <c r="H322" t="s">
        <v>35</v>
      </c>
      <c r="I322" t="s">
        <v>35</v>
      </c>
      <c r="J322" t="s">
        <v>35</v>
      </c>
      <c r="K322" t="s">
        <v>35</v>
      </c>
      <c r="L322" t="s">
        <v>37</v>
      </c>
      <c r="M322" t="s">
        <v>35</v>
      </c>
      <c r="N322" t="s">
        <v>35</v>
      </c>
      <c r="O322" t="str">
        <f t="shared" si="10"/>
        <v>True</v>
      </c>
      <c r="P322" s="3">
        <v>100666.7</v>
      </c>
      <c r="Q322" s="3">
        <v>0</v>
      </c>
      <c r="R322" s="3">
        <v>0</v>
      </c>
      <c r="S322" s="3">
        <v>10646.77865</v>
      </c>
      <c r="T322" s="3">
        <v>715.84862500000122</v>
      </c>
      <c r="U322">
        <v>3.6005451653824003E-2</v>
      </c>
      <c r="V322" s="3">
        <v>-86349.727499999979</v>
      </c>
      <c r="W322">
        <v>140.62568046421799</v>
      </c>
      <c r="X322">
        <v>4.2587114599999998</v>
      </c>
      <c r="Y322">
        <v>0.28633944999999977</v>
      </c>
      <c r="Z322" s="5">
        <v>6.3000273411678798E-2</v>
      </c>
      <c r="AA322">
        <v>12.67473648809524</v>
      </c>
      <c r="AB322">
        <v>53.907739999999997</v>
      </c>
      <c r="AC322">
        <v>3.6245500000000059</v>
      </c>
      <c r="AD322" s="5">
        <v>6.3000273411679006E-2</v>
      </c>
      <c r="AE322">
        <v>160.43970238095241</v>
      </c>
      <c r="AF322">
        <v>10.78735119047621</v>
      </c>
      <c r="AG322">
        <v>0.85220074404762336</v>
      </c>
      <c r="AH322" t="str">
        <f t="shared" si="9"/>
        <v>True</v>
      </c>
      <c r="AI322">
        <v>3</v>
      </c>
    </row>
    <row r="323" spans="1:35" x14ac:dyDescent="0.35">
      <c r="A323" t="s">
        <v>395</v>
      </c>
      <c r="B323" t="s">
        <v>388</v>
      </c>
      <c r="C323" t="s">
        <v>33</v>
      </c>
      <c r="D323" t="s">
        <v>283</v>
      </c>
      <c r="E323" t="s">
        <v>39</v>
      </c>
      <c r="F323" t="s">
        <v>283</v>
      </c>
      <c r="G323" t="s">
        <v>37</v>
      </c>
      <c r="H323" t="s">
        <v>35</v>
      </c>
      <c r="I323" t="s">
        <v>37</v>
      </c>
      <c r="J323" t="s">
        <v>35</v>
      </c>
      <c r="K323" t="s">
        <v>35</v>
      </c>
      <c r="L323" t="s">
        <v>35</v>
      </c>
      <c r="M323" t="s">
        <v>35</v>
      </c>
      <c r="N323" t="s">
        <v>35</v>
      </c>
      <c r="O323" t="str">
        <f t="shared" si="10"/>
        <v>True</v>
      </c>
      <c r="P323" s="3">
        <v>170465.7</v>
      </c>
      <c r="Q323" s="3">
        <v>0</v>
      </c>
      <c r="R323" s="3">
        <v>0</v>
      </c>
      <c r="S323" s="3">
        <v>9533.2934000000005</v>
      </c>
      <c r="T323" s="3">
        <v>1829.333875</v>
      </c>
      <c r="U323">
        <v>5.4336150908951102E-2</v>
      </c>
      <c r="V323" s="3">
        <v>-133879.02249999999</v>
      </c>
      <c r="W323">
        <v>93.184575177672244</v>
      </c>
      <c r="X323">
        <v>3.8133173600000001</v>
      </c>
      <c r="Y323">
        <v>0.73173354999999951</v>
      </c>
      <c r="Z323" s="5">
        <v>0.16099567738395251</v>
      </c>
      <c r="AA323">
        <v>11.349158809523811</v>
      </c>
      <c r="AB323">
        <v>48.269840000000002</v>
      </c>
      <c r="AC323">
        <v>9.2624499999999994</v>
      </c>
      <c r="AD323" s="5">
        <v>0.1609956773839526</v>
      </c>
      <c r="AE323">
        <v>143.6602380952381</v>
      </c>
      <c r="AF323">
        <v>27.566815476190481</v>
      </c>
      <c r="AG323">
        <v>2.1777784226190509</v>
      </c>
      <c r="AH323" t="str">
        <f t="shared" ref="AH323:AH386" si="11">IF(OR(G323="True",I323="True",J323="True"),"True","False")</f>
        <v>True</v>
      </c>
      <c r="AI323">
        <v>2</v>
      </c>
    </row>
    <row r="324" spans="1:35" x14ac:dyDescent="0.35">
      <c r="A324" t="s">
        <v>396</v>
      </c>
      <c r="B324" t="s">
        <v>388</v>
      </c>
      <c r="C324" t="s">
        <v>33</v>
      </c>
      <c r="D324" t="s">
        <v>283</v>
      </c>
      <c r="E324" t="s">
        <v>39</v>
      </c>
      <c r="F324" t="s">
        <v>283</v>
      </c>
      <c r="G324" t="s">
        <v>37</v>
      </c>
      <c r="H324" t="s">
        <v>35</v>
      </c>
      <c r="I324" t="s">
        <v>35</v>
      </c>
      <c r="J324" t="s">
        <v>35</v>
      </c>
      <c r="K324" t="s">
        <v>35</v>
      </c>
      <c r="L324" t="s">
        <v>35</v>
      </c>
      <c r="M324" t="s">
        <v>37</v>
      </c>
      <c r="N324" t="s">
        <v>35</v>
      </c>
      <c r="O324" t="str">
        <f t="shared" si="10"/>
        <v>True</v>
      </c>
      <c r="P324" s="3">
        <v>124641.5</v>
      </c>
      <c r="Q324" s="3">
        <v>0</v>
      </c>
      <c r="R324" s="3">
        <v>0</v>
      </c>
      <c r="S324" s="3">
        <v>8946.2996999999996</v>
      </c>
      <c r="T324" s="3">
        <v>2416.3275750000012</v>
      </c>
      <c r="U324">
        <v>9.8158077365885402E-2</v>
      </c>
      <c r="V324" s="3">
        <v>-76314.948499999969</v>
      </c>
      <c r="W324">
        <v>51.583030914175588</v>
      </c>
      <c r="X324">
        <v>3.57851988</v>
      </c>
      <c r="Y324">
        <v>0.96653102999999962</v>
      </c>
      <c r="Z324" s="5">
        <v>0.21265571038455089</v>
      </c>
      <c r="AA324">
        <v>10.65035678571429</v>
      </c>
      <c r="AB324">
        <v>45.297719999999998</v>
      </c>
      <c r="AC324">
        <v>12.23457000000001</v>
      </c>
      <c r="AD324" s="5">
        <v>0.21265571038455111</v>
      </c>
      <c r="AE324">
        <v>134.8146428571429</v>
      </c>
      <c r="AF324">
        <v>36.412410714285727</v>
      </c>
      <c r="AG324">
        <v>2.8765804464285751</v>
      </c>
      <c r="AH324" t="str">
        <f t="shared" si="11"/>
        <v>True</v>
      </c>
      <c r="AI324">
        <v>2</v>
      </c>
    </row>
    <row r="325" spans="1:35" x14ac:dyDescent="0.35">
      <c r="A325" t="s">
        <v>397</v>
      </c>
      <c r="B325" t="s">
        <v>388</v>
      </c>
      <c r="C325" t="s">
        <v>33</v>
      </c>
      <c r="D325" t="s">
        <v>34</v>
      </c>
      <c r="E325" t="s">
        <v>52</v>
      </c>
      <c r="F325" t="s">
        <v>34</v>
      </c>
      <c r="G325" t="s">
        <v>35</v>
      </c>
      <c r="H325" t="s">
        <v>35</v>
      </c>
      <c r="I325" t="s">
        <v>37</v>
      </c>
      <c r="J325" t="s">
        <v>35</v>
      </c>
      <c r="K325" t="s">
        <v>35</v>
      </c>
      <c r="L325" t="s">
        <v>35</v>
      </c>
      <c r="M325" t="s">
        <v>37</v>
      </c>
      <c r="N325" t="s">
        <v>35</v>
      </c>
      <c r="O325" t="str">
        <f t="shared" ref="O325:O388" si="12">IF(COUNTIF(G325:N325,"True")&gt;1, "True", "False")</f>
        <v>True</v>
      </c>
      <c r="P325" s="3">
        <v>229990.7</v>
      </c>
      <c r="Q325" s="3">
        <v>0</v>
      </c>
      <c r="R325" s="3">
        <v>0</v>
      </c>
      <c r="S325" s="3">
        <v>7721.02945</v>
      </c>
      <c r="T325" s="3">
        <v>3641.5978249999998</v>
      </c>
      <c r="U325">
        <v>8.0170502546407299E-2</v>
      </c>
      <c r="V325" s="3">
        <v>-157158.74350000001</v>
      </c>
      <c r="W325">
        <v>63.156534865296393</v>
      </c>
      <c r="X325">
        <v>3.0884117799999999</v>
      </c>
      <c r="Y325">
        <v>1.4566391299999999</v>
      </c>
      <c r="Z325" s="5">
        <v>0.32048906796513738</v>
      </c>
      <c r="AA325">
        <v>9.1917017261904768</v>
      </c>
      <c r="AB325">
        <v>39.093820000000001</v>
      </c>
      <c r="AC325">
        <v>18.438469999999999</v>
      </c>
      <c r="AD325" s="5">
        <v>0.32048906796513749</v>
      </c>
      <c r="AE325">
        <v>116.35065476190481</v>
      </c>
      <c r="AF325">
        <v>54.876398809523813</v>
      </c>
      <c r="AG325">
        <v>4.3352355059523831</v>
      </c>
      <c r="AH325" t="str">
        <f t="shared" si="11"/>
        <v>True</v>
      </c>
      <c r="AI325">
        <v>1</v>
      </c>
    </row>
    <row r="326" spans="1:35" x14ac:dyDescent="0.35">
      <c r="A326" t="s">
        <v>398</v>
      </c>
      <c r="B326" t="s">
        <v>388</v>
      </c>
      <c r="C326" t="s">
        <v>33</v>
      </c>
      <c r="D326" t="s">
        <v>34</v>
      </c>
      <c r="E326" t="s">
        <v>52</v>
      </c>
      <c r="F326" t="s">
        <v>34</v>
      </c>
      <c r="G326" t="s">
        <v>37</v>
      </c>
      <c r="H326" t="s">
        <v>35</v>
      </c>
      <c r="I326" t="s">
        <v>37</v>
      </c>
      <c r="J326" t="s">
        <v>35</v>
      </c>
      <c r="K326" t="s">
        <v>35</v>
      </c>
      <c r="L326" t="s">
        <v>37</v>
      </c>
      <c r="M326" t="s">
        <v>37</v>
      </c>
      <c r="N326" t="s">
        <v>35</v>
      </c>
      <c r="O326" t="str">
        <f t="shared" si="12"/>
        <v>True</v>
      </c>
      <c r="P326" s="3">
        <v>330657.40000000002</v>
      </c>
      <c r="Q326" s="3">
        <v>0</v>
      </c>
      <c r="R326" s="3">
        <v>0</v>
      </c>
      <c r="S326" s="3">
        <v>7095.5410250000004</v>
      </c>
      <c r="T326" s="3">
        <v>4267.0862500000012</v>
      </c>
      <c r="U326">
        <v>6.5341044839764606E-2</v>
      </c>
      <c r="V326" s="3">
        <v>-245315.67499999999</v>
      </c>
      <c r="W326">
        <v>77.490207750077687</v>
      </c>
      <c r="X326">
        <v>2.8382164099999998</v>
      </c>
      <c r="Y326">
        <v>1.7068345</v>
      </c>
      <c r="Z326" s="5">
        <v>0.37553693760495188</v>
      </c>
      <c r="AA326">
        <v>8.4470726488095238</v>
      </c>
      <c r="AB326">
        <v>35.926789999999997</v>
      </c>
      <c r="AC326">
        <v>21.60550000000001</v>
      </c>
      <c r="AD326" s="5">
        <v>0.37553693760495199</v>
      </c>
      <c r="AE326">
        <v>106.9249702380952</v>
      </c>
      <c r="AF326">
        <v>64.302083333333357</v>
      </c>
      <c r="AG326">
        <v>5.079864583333336</v>
      </c>
      <c r="AH326" t="str">
        <f t="shared" si="11"/>
        <v>True</v>
      </c>
      <c r="AI326">
        <v>3</v>
      </c>
    </row>
    <row r="327" spans="1:35" x14ac:dyDescent="0.35">
      <c r="A327" t="s">
        <v>399</v>
      </c>
      <c r="B327" t="s">
        <v>400</v>
      </c>
      <c r="C327" t="s">
        <v>63</v>
      </c>
      <c r="D327" t="s">
        <v>39</v>
      </c>
      <c r="E327" t="s">
        <v>39</v>
      </c>
      <c r="F327" t="s">
        <v>39</v>
      </c>
      <c r="G327" t="s">
        <v>35</v>
      </c>
      <c r="H327" t="s">
        <v>35</v>
      </c>
      <c r="I327" t="s">
        <v>35</v>
      </c>
      <c r="J327" t="s">
        <v>35</v>
      </c>
      <c r="K327" t="s">
        <v>35</v>
      </c>
      <c r="L327" t="s">
        <v>35</v>
      </c>
      <c r="M327" t="s">
        <v>35</v>
      </c>
      <c r="N327" t="s">
        <v>35</v>
      </c>
      <c r="O327" t="str">
        <f t="shared" si="12"/>
        <v>False</v>
      </c>
      <c r="P327" s="3">
        <v>0</v>
      </c>
      <c r="Q327" s="3">
        <v>8815.0496940000012</v>
      </c>
      <c r="R327" s="3">
        <v>0</v>
      </c>
      <c r="S327" s="3">
        <v>10218.533094</v>
      </c>
      <c r="T327" s="3">
        <v>0</v>
      </c>
      <c r="U327">
        <v>0</v>
      </c>
      <c r="V327" s="3">
        <v>0</v>
      </c>
      <c r="W327">
        <v>0</v>
      </c>
      <c r="X327">
        <v>26.498256179999998</v>
      </c>
      <c r="Y327">
        <v>-3.5527136788005009E-15</v>
      </c>
      <c r="Z327" s="5">
        <v>-1.3407348976729909E-16</v>
      </c>
      <c r="AA327">
        <v>18.491455812979758</v>
      </c>
      <c r="AB327">
        <v>144.87902</v>
      </c>
      <c r="AC327">
        <v>0</v>
      </c>
      <c r="AD327" s="5">
        <v>0</v>
      </c>
      <c r="AE327">
        <v>101.1018981158409</v>
      </c>
      <c r="AF327">
        <v>0</v>
      </c>
      <c r="AG327">
        <v>-3.5527136788005009E-15</v>
      </c>
      <c r="AH327" t="str">
        <f t="shared" si="11"/>
        <v>False</v>
      </c>
      <c r="AI327">
        <v>0</v>
      </c>
    </row>
    <row r="328" spans="1:35" x14ac:dyDescent="0.35">
      <c r="A328" t="s">
        <v>401</v>
      </c>
      <c r="B328" t="s">
        <v>400</v>
      </c>
      <c r="C328" t="s">
        <v>63</v>
      </c>
      <c r="D328" t="s">
        <v>39</v>
      </c>
      <c r="E328" t="s">
        <v>52</v>
      </c>
      <c r="F328" t="s">
        <v>39</v>
      </c>
      <c r="G328" t="s">
        <v>37</v>
      </c>
      <c r="H328" t="s">
        <v>35</v>
      </c>
      <c r="I328" t="s">
        <v>35</v>
      </c>
      <c r="J328" t="s">
        <v>35</v>
      </c>
      <c r="K328" t="s">
        <v>35</v>
      </c>
      <c r="L328" t="s">
        <v>35</v>
      </c>
      <c r="M328" t="s">
        <v>35</v>
      </c>
      <c r="N328" t="s">
        <v>35</v>
      </c>
      <c r="O328" t="str">
        <f t="shared" si="12"/>
        <v>False</v>
      </c>
      <c r="P328" s="3">
        <v>53206.98</v>
      </c>
      <c r="Q328" s="3">
        <v>6890.1159275999998</v>
      </c>
      <c r="R328" s="3">
        <v>1924.9337664000011</v>
      </c>
      <c r="S328" s="3">
        <v>9977.0470199999982</v>
      </c>
      <c r="T328" s="3">
        <v>241.4860740000004</v>
      </c>
      <c r="U328">
        <v>0.43659948375194391</v>
      </c>
      <c r="V328" s="3">
        <v>-9878.5831919999764</v>
      </c>
      <c r="W328">
        <v>24.559865547656742</v>
      </c>
      <c r="X328">
        <v>21.376006960000002</v>
      </c>
      <c r="Y328">
        <v>5.1222492199999996</v>
      </c>
      <c r="Z328" s="5">
        <v>0.19330514375002919</v>
      </c>
      <c r="AA328">
        <v>14.916962288904401</v>
      </c>
      <c r="AB328">
        <v>121.64888000000001</v>
      </c>
      <c r="AC328">
        <v>23.230140000000009</v>
      </c>
      <c r="AD328" s="5">
        <v>0.16034164228885589</v>
      </c>
      <c r="AE328">
        <v>84.891053733426375</v>
      </c>
      <c r="AF328">
        <v>16.210844382414521</v>
      </c>
      <c r="AG328">
        <v>3.574493524075363</v>
      </c>
      <c r="AH328" t="str">
        <f t="shared" si="11"/>
        <v>True</v>
      </c>
      <c r="AI328">
        <v>3</v>
      </c>
    </row>
    <row r="329" spans="1:35" x14ac:dyDescent="0.35">
      <c r="A329" t="s">
        <v>402</v>
      </c>
      <c r="B329" t="s">
        <v>400</v>
      </c>
      <c r="C329" t="s">
        <v>63</v>
      </c>
      <c r="D329" t="s">
        <v>52</v>
      </c>
      <c r="E329" t="s">
        <v>52</v>
      </c>
      <c r="F329" t="s">
        <v>52</v>
      </c>
      <c r="G329" t="s">
        <v>35</v>
      </c>
      <c r="H329" t="s">
        <v>35</v>
      </c>
      <c r="I329" t="s">
        <v>35</v>
      </c>
      <c r="J329" t="s">
        <v>35</v>
      </c>
      <c r="K329" t="s">
        <v>35</v>
      </c>
      <c r="L329" t="s">
        <v>37</v>
      </c>
      <c r="M329" t="s">
        <v>35</v>
      </c>
      <c r="N329" t="s">
        <v>35</v>
      </c>
      <c r="O329" t="str">
        <f t="shared" si="12"/>
        <v>False</v>
      </c>
      <c r="P329" s="3">
        <v>259016.3</v>
      </c>
      <c r="Q329" s="3">
        <v>5073.4165239000004</v>
      </c>
      <c r="R329" s="3">
        <v>3741.6331700999999</v>
      </c>
      <c r="S329" s="3">
        <v>9749.0339100000001</v>
      </c>
      <c r="T329" s="3">
        <v>469.49918399999967</v>
      </c>
      <c r="U329">
        <v>0.17433092048647131</v>
      </c>
      <c r="V329" s="3">
        <v>-174793.65291800001</v>
      </c>
      <c r="W329">
        <v>61.507518220798538</v>
      </c>
      <c r="X329">
        <v>16.541734290000001</v>
      </c>
      <c r="Y329">
        <v>9.9565218899999977</v>
      </c>
      <c r="Z329" s="5">
        <v>0.37574253272994051</v>
      </c>
      <c r="AA329">
        <v>11.543429371946971</v>
      </c>
      <c r="AB329">
        <v>99.724469999999997</v>
      </c>
      <c r="AC329">
        <v>45.15455</v>
      </c>
      <c r="AD329" s="5">
        <v>0.31167073051708938</v>
      </c>
      <c r="AE329">
        <v>69.591395673412421</v>
      </c>
      <c r="AF329">
        <v>31.510502442428471</v>
      </c>
      <c r="AG329">
        <v>6.948026441032793</v>
      </c>
      <c r="AH329" t="str">
        <f t="shared" si="11"/>
        <v>False</v>
      </c>
      <c r="AI329">
        <v>5</v>
      </c>
    </row>
    <row r="330" spans="1:35" x14ac:dyDescent="0.35">
      <c r="A330" t="s">
        <v>403</v>
      </c>
      <c r="B330" t="s">
        <v>400</v>
      </c>
      <c r="C330" t="s">
        <v>63</v>
      </c>
      <c r="D330" t="s">
        <v>39</v>
      </c>
      <c r="E330" t="s">
        <v>39</v>
      </c>
      <c r="F330" t="s">
        <v>39</v>
      </c>
      <c r="G330" t="s">
        <v>35</v>
      </c>
      <c r="H330" t="s">
        <v>35</v>
      </c>
      <c r="I330" t="s">
        <v>37</v>
      </c>
      <c r="J330" t="s">
        <v>35</v>
      </c>
      <c r="K330" t="s">
        <v>35</v>
      </c>
      <c r="L330" t="s">
        <v>35</v>
      </c>
      <c r="M330" t="s">
        <v>35</v>
      </c>
      <c r="N330" t="s">
        <v>35</v>
      </c>
      <c r="O330" t="str">
        <f t="shared" si="12"/>
        <v>False</v>
      </c>
      <c r="P330" s="3">
        <v>262199</v>
      </c>
      <c r="Q330" s="3">
        <v>8130.8602467000001</v>
      </c>
      <c r="R330" s="3">
        <v>684.18944730000078</v>
      </c>
      <c r="S330" s="3">
        <v>10132.726977</v>
      </c>
      <c r="T330" s="3">
        <v>85.806117000000071</v>
      </c>
      <c r="U330">
        <v>3.14902040053546E-2</v>
      </c>
      <c r="V330" s="3">
        <v>-246799.08871400001</v>
      </c>
      <c r="W330">
        <v>340.5201434353246</v>
      </c>
      <c r="X330">
        <v>24.677636759999999</v>
      </c>
      <c r="Y330">
        <v>1.8206194200000001</v>
      </c>
      <c r="Z330" s="5">
        <v>6.8707140863636995E-2</v>
      </c>
      <c r="AA330">
        <v>17.22096075366364</v>
      </c>
      <c r="AB330">
        <v>136.62232</v>
      </c>
      <c r="AC330">
        <v>8.256699999999995</v>
      </c>
      <c r="AD330" s="5">
        <v>5.6990308189550101E-2</v>
      </c>
      <c r="AE330">
        <v>95.340069783670643</v>
      </c>
      <c r="AF330">
        <v>5.7618283321702686</v>
      </c>
      <c r="AG330">
        <v>1.2704950593161191</v>
      </c>
      <c r="AH330" t="str">
        <f t="shared" si="11"/>
        <v>True</v>
      </c>
      <c r="AI330">
        <v>2</v>
      </c>
    </row>
    <row r="331" spans="1:35" x14ac:dyDescent="0.35">
      <c r="A331" t="s">
        <v>404</v>
      </c>
      <c r="B331" t="s">
        <v>400</v>
      </c>
      <c r="C331" t="s">
        <v>63</v>
      </c>
      <c r="D331" t="s">
        <v>39</v>
      </c>
      <c r="E331" t="s">
        <v>39</v>
      </c>
      <c r="F331" t="s">
        <v>39</v>
      </c>
      <c r="G331" t="s">
        <v>35</v>
      </c>
      <c r="H331" t="s">
        <v>35</v>
      </c>
      <c r="I331" t="s">
        <v>35</v>
      </c>
      <c r="J331" t="s">
        <v>37</v>
      </c>
      <c r="K331" t="s">
        <v>35</v>
      </c>
      <c r="L331" t="s">
        <v>35</v>
      </c>
      <c r="M331" t="s">
        <v>35</v>
      </c>
      <c r="N331" t="s">
        <v>35</v>
      </c>
      <c r="O331" t="str">
        <f t="shared" si="12"/>
        <v>False</v>
      </c>
      <c r="P331" s="3">
        <v>321790</v>
      </c>
      <c r="Q331" s="3">
        <v>7681.3965603000006</v>
      </c>
      <c r="R331" s="3">
        <v>1133.6531336999999</v>
      </c>
      <c r="S331" s="3">
        <v>10076.378175</v>
      </c>
      <c r="T331" s="3">
        <v>142.15491899999941</v>
      </c>
      <c r="U331">
        <v>4.2514310575219802E-2</v>
      </c>
      <c r="V331" s="3">
        <v>-296273.83894599997</v>
      </c>
      <c r="W331">
        <v>252.2244622292468</v>
      </c>
      <c r="X331">
        <v>23.481626179999999</v>
      </c>
      <c r="Y331">
        <v>3.0166299999999988</v>
      </c>
      <c r="Z331" s="5">
        <v>0.11384258569727509</v>
      </c>
      <c r="AA331">
        <v>16.386340669923239</v>
      </c>
      <c r="AB331">
        <v>131.19834</v>
      </c>
      <c r="AC331">
        <v>13.680680000000001</v>
      </c>
      <c r="AD331" s="5">
        <v>9.4428303007571296E-2</v>
      </c>
      <c r="AE331">
        <v>91.555017445917656</v>
      </c>
      <c r="AF331">
        <v>9.5468806699232367</v>
      </c>
      <c r="AG331">
        <v>2.1051151430565191</v>
      </c>
      <c r="AH331" t="str">
        <f t="shared" si="11"/>
        <v>True</v>
      </c>
      <c r="AI331">
        <v>2</v>
      </c>
    </row>
    <row r="332" spans="1:35" x14ac:dyDescent="0.35">
      <c r="A332" t="s">
        <v>405</v>
      </c>
      <c r="B332" t="s">
        <v>400</v>
      </c>
      <c r="C332" t="s">
        <v>63</v>
      </c>
      <c r="D332" t="s">
        <v>39</v>
      </c>
      <c r="E332" t="s">
        <v>39</v>
      </c>
      <c r="F332" t="s">
        <v>39</v>
      </c>
      <c r="G332" t="s">
        <v>35</v>
      </c>
      <c r="H332" t="s">
        <v>35</v>
      </c>
      <c r="I332" t="s">
        <v>35</v>
      </c>
      <c r="J332" t="s">
        <v>35</v>
      </c>
      <c r="K332" t="s">
        <v>35</v>
      </c>
      <c r="L332" t="s">
        <v>35</v>
      </c>
      <c r="M332" t="s">
        <v>37</v>
      </c>
      <c r="N332" t="s">
        <v>35</v>
      </c>
      <c r="O332" t="str">
        <f t="shared" si="12"/>
        <v>False</v>
      </c>
      <c r="P332" s="3">
        <v>149050</v>
      </c>
      <c r="Q332" s="3">
        <v>7207.2171899999994</v>
      </c>
      <c r="R332" s="3">
        <v>1607.8325040000011</v>
      </c>
      <c r="S332" s="3">
        <v>11114.745569999999</v>
      </c>
      <c r="T332" s="3">
        <v>-896.21247599999947</v>
      </c>
      <c r="U332">
        <v>9.9060181147265905E-2</v>
      </c>
      <c r="V332" s="3">
        <v>-134817.59943999999</v>
      </c>
      <c r="W332">
        <v>209.45166540478499</v>
      </c>
      <c r="X332">
        <v>22.586249899999999</v>
      </c>
      <c r="Y332">
        <v>3.912006279999996</v>
      </c>
      <c r="Z332" s="5">
        <v>0.14763259338373549</v>
      </c>
      <c r="AA332">
        <v>15.761514235868811</v>
      </c>
      <c r="AB332">
        <v>130.11410000000001</v>
      </c>
      <c r="AC332">
        <v>14.764919999999989</v>
      </c>
      <c r="AD332" s="5">
        <v>0.1019120642864646</v>
      </c>
      <c r="AE332">
        <v>90.798394975575718</v>
      </c>
      <c r="AF332">
        <v>10.303503140265169</v>
      </c>
      <c r="AG332">
        <v>2.729941577110949</v>
      </c>
      <c r="AH332" t="str">
        <f t="shared" si="11"/>
        <v>False</v>
      </c>
      <c r="AI332">
        <v>0</v>
      </c>
    </row>
    <row r="333" spans="1:35" x14ac:dyDescent="0.35">
      <c r="A333" t="s">
        <v>406</v>
      </c>
      <c r="B333" t="s">
        <v>400</v>
      </c>
      <c r="C333" t="s">
        <v>63</v>
      </c>
      <c r="D333" t="s">
        <v>52</v>
      </c>
      <c r="E333" t="s">
        <v>52</v>
      </c>
      <c r="F333" t="s">
        <v>52</v>
      </c>
      <c r="G333" t="s">
        <v>37</v>
      </c>
      <c r="H333" t="s">
        <v>35</v>
      </c>
      <c r="I333" t="s">
        <v>35</v>
      </c>
      <c r="J333" t="s">
        <v>35</v>
      </c>
      <c r="K333" t="s">
        <v>35</v>
      </c>
      <c r="L333" t="s">
        <v>37</v>
      </c>
      <c r="M333" t="s">
        <v>35</v>
      </c>
      <c r="N333" t="s">
        <v>35</v>
      </c>
      <c r="O333" t="str">
        <f t="shared" si="12"/>
        <v>True</v>
      </c>
      <c r="P333" s="3">
        <v>312223.2</v>
      </c>
      <c r="Q333" s="3">
        <v>3345.2470583999998</v>
      </c>
      <c r="R333" s="3">
        <v>5469.8026356</v>
      </c>
      <c r="S333" s="3">
        <v>9532.5551909999995</v>
      </c>
      <c r="T333" s="3">
        <v>685.97790299999906</v>
      </c>
      <c r="U333">
        <v>0.2114153272402563</v>
      </c>
      <c r="V333" s="3">
        <v>-189107.589228</v>
      </c>
      <c r="W333">
        <v>50.720326698165323</v>
      </c>
      <c r="X333">
        <v>11.94318271</v>
      </c>
      <c r="Y333">
        <v>14.55507347</v>
      </c>
      <c r="Z333" s="5">
        <v>0.5492842008594393</v>
      </c>
      <c r="AA333">
        <v>8.3343912840195404</v>
      </c>
      <c r="AB333">
        <v>78.870249999999999</v>
      </c>
      <c r="AC333">
        <v>66.008769999999998</v>
      </c>
      <c r="AD333" s="5">
        <v>0.45561303493079952</v>
      </c>
      <c r="AE333">
        <v>55.038555478018147</v>
      </c>
      <c r="AF333">
        <v>46.06334263782275</v>
      </c>
      <c r="AG333">
        <v>10.15706452896022</v>
      </c>
      <c r="AH333" t="str">
        <f t="shared" si="11"/>
        <v>True</v>
      </c>
      <c r="AI333">
        <v>5</v>
      </c>
    </row>
    <row r="334" spans="1:35" x14ac:dyDescent="0.35">
      <c r="A334" t="s">
        <v>407</v>
      </c>
      <c r="B334" t="s">
        <v>400</v>
      </c>
      <c r="C334" t="s">
        <v>63</v>
      </c>
      <c r="D334" t="s">
        <v>39</v>
      </c>
      <c r="E334" t="s">
        <v>52</v>
      </c>
      <c r="F334" t="s">
        <v>39</v>
      </c>
      <c r="G334" t="s">
        <v>37</v>
      </c>
      <c r="H334" t="s">
        <v>35</v>
      </c>
      <c r="I334" t="s">
        <v>37</v>
      </c>
      <c r="J334" t="s">
        <v>35</v>
      </c>
      <c r="K334" t="s">
        <v>35</v>
      </c>
      <c r="L334" t="s">
        <v>35</v>
      </c>
      <c r="M334" t="s">
        <v>35</v>
      </c>
      <c r="N334" t="s">
        <v>35</v>
      </c>
      <c r="O334" t="str">
        <f t="shared" si="12"/>
        <v>True</v>
      </c>
      <c r="P334" s="3">
        <v>315264</v>
      </c>
      <c r="Q334" s="3">
        <v>6250.5909981000004</v>
      </c>
      <c r="R334" s="3">
        <v>2564.4586959000012</v>
      </c>
      <c r="S334" s="3">
        <v>9896.9169689999999</v>
      </c>
      <c r="T334" s="3">
        <v>321.61612500000012</v>
      </c>
      <c r="U334">
        <v>9.8163824604141206E-2</v>
      </c>
      <c r="V334" s="3">
        <v>-257542.503582</v>
      </c>
      <c r="W334">
        <v>109.236253238122</v>
      </c>
      <c r="X334">
        <v>19.674264139999998</v>
      </c>
      <c r="Y334">
        <v>6.8239920400000003</v>
      </c>
      <c r="Z334" s="5">
        <v>0.25752607996712329</v>
      </c>
      <c r="AA334">
        <v>13.72942368457781</v>
      </c>
      <c r="AB334">
        <v>113.9315</v>
      </c>
      <c r="AC334">
        <v>30.947520000000001</v>
      </c>
      <c r="AD334" s="5">
        <v>0.21360939630872711</v>
      </c>
      <c r="AE334">
        <v>79.505582693649686</v>
      </c>
      <c r="AF334">
        <v>21.5963154221912</v>
      </c>
      <c r="AG334">
        <v>4.76203212840195</v>
      </c>
      <c r="AH334" t="str">
        <f t="shared" si="11"/>
        <v>True</v>
      </c>
      <c r="AI334">
        <v>3</v>
      </c>
    </row>
    <row r="335" spans="1:35" x14ac:dyDescent="0.35">
      <c r="A335" t="s">
        <v>408</v>
      </c>
      <c r="B335" t="s">
        <v>400</v>
      </c>
      <c r="C335" t="s">
        <v>63</v>
      </c>
      <c r="D335" t="s">
        <v>52</v>
      </c>
      <c r="E335" t="s">
        <v>52</v>
      </c>
      <c r="F335" t="s">
        <v>52</v>
      </c>
      <c r="G335" t="s">
        <v>35</v>
      </c>
      <c r="H335" t="s">
        <v>35</v>
      </c>
      <c r="I335" t="s">
        <v>37</v>
      </c>
      <c r="J335" t="s">
        <v>35</v>
      </c>
      <c r="K335" t="s">
        <v>35</v>
      </c>
      <c r="L335" t="s">
        <v>37</v>
      </c>
      <c r="M335" t="s">
        <v>35</v>
      </c>
      <c r="N335" t="s">
        <v>35</v>
      </c>
      <c r="O335" t="str">
        <f t="shared" si="12"/>
        <v>True</v>
      </c>
      <c r="P335" s="3">
        <v>519139.2</v>
      </c>
      <c r="Q335" s="3">
        <v>4453.7069565000002</v>
      </c>
      <c r="R335" s="3">
        <v>4361.342737500001</v>
      </c>
      <c r="S335" s="3">
        <v>9671.4270809999998</v>
      </c>
      <c r="T335" s="3">
        <v>547.10601299999894</v>
      </c>
      <c r="U335">
        <v>0.10138444563616079</v>
      </c>
      <c r="V335" s="3">
        <v>-420970.22499000002</v>
      </c>
      <c r="W335">
        <v>105.7644128294337</v>
      </c>
      <c r="X335">
        <v>14.89273262</v>
      </c>
      <c r="Y335">
        <v>11.60552356</v>
      </c>
      <c r="Z335" s="5">
        <v>0.43797310589666127</v>
      </c>
      <c r="AA335">
        <v>10.39269547801814</v>
      </c>
      <c r="AB335">
        <v>92.246380000000002</v>
      </c>
      <c r="AC335">
        <v>52.632639999999988</v>
      </c>
      <c r="AD335" s="5">
        <v>0.36328683062599398</v>
      </c>
      <c r="AE335">
        <v>64.3729099790649</v>
      </c>
      <c r="AF335">
        <v>36.728988136775989</v>
      </c>
      <c r="AG335">
        <v>8.0987603349616144</v>
      </c>
      <c r="AH335" t="str">
        <f t="shared" si="11"/>
        <v>True</v>
      </c>
      <c r="AI335">
        <v>5</v>
      </c>
    </row>
    <row r="336" spans="1:35" x14ac:dyDescent="0.35">
      <c r="A336" t="s">
        <v>409</v>
      </c>
      <c r="B336" t="s">
        <v>400</v>
      </c>
      <c r="C336" t="s">
        <v>63</v>
      </c>
      <c r="D336" t="s">
        <v>39</v>
      </c>
      <c r="E336" t="s">
        <v>52</v>
      </c>
      <c r="F336" t="s">
        <v>39</v>
      </c>
      <c r="G336" t="s">
        <v>37</v>
      </c>
      <c r="H336" t="s">
        <v>35</v>
      </c>
      <c r="I336" t="s">
        <v>37</v>
      </c>
      <c r="J336" t="s">
        <v>35</v>
      </c>
      <c r="K336" t="s">
        <v>35</v>
      </c>
      <c r="L336" t="s">
        <v>35</v>
      </c>
      <c r="M336" t="s">
        <v>37</v>
      </c>
      <c r="N336" t="s">
        <v>35</v>
      </c>
      <c r="O336" t="str">
        <f t="shared" si="12"/>
        <v>True</v>
      </c>
      <c r="P336" s="3">
        <v>462380</v>
      </c>
      <c r="Q336" s="3">
        <v>4734.5671584000002</v>
      </c>
      <c r="R336" s="3">
        <v>4080.482535600001</v>
      </c>
      <c r="S336" s="3">
        <v>10804.706442000001</v>
      </c>
      <c r="T336" s="3">
        <v>-586.17334800000083</v>
      </c>
      <c r="U336">
        <v>9.6466629179462707E-2</v>
      </c>
      <c r="V336" s="3">
        <v>-392493.81624800002</v>
      </c>
      <c r="W336">
        <v>132.32372270914499</v>
      </c>
      <c r="X336">
        <v>16.006580580000001</v>
      </c>
      <c r="Y336">
        <v>10.491675600000001</v>
      </c>
      <c r="Z336" s="5">
        <v>0.39593834132824057</v>
      </c>
      <c r="AA336">
        <v>11.169979469644099</v>
      </c>
      <c r="AB336">
        <v>100.27478000000001</v>
      </c>
      <c r="AC336">
        <v>44.604239999999997</v>
      </c>
      <c r="AD336" s="5">
        <v>0.30787231995357228</v>
      </c>
      <c r="AE336">
        <v>69.975422191207258</v>
      </c>
      <c r="AF336">
        <v>31.126475924633642</v>
      </c>
      <c r="AG336">
        <v>7.3214763433356573</v>
      </c>
      <c r="AH336" t="str">
        <f t="shared" si="11"/>
        <v>True</v>
      </c>
      <c r="AI336">
        <v>3</v>
      </c>
    </row>
    <row r="337" spans="1:35" x14ac:dyDescent="0.35">
      <c r="A337" t="s">
        <v>410</v>
      </c>
      <c r="B337" t="s">
        <v>400</v>
      </c>
      <c r="C337" t="s">
        <v>63</v>
      </c>
      <c r="D337" t="s">
        <v>52</v>
      </c>
      <c r="E337" t="s">
        <v>77</v>
      </c>
      <c r="F337" t="s">
        <v>52</v>
      </c>
      <c r="G337" t="s">
        <v>37</v>
      </c>
      <c r="H337" t="s">
        <v>35</v>
      </c>
      <c r="I337" t="s">
        <v>37</v>
      </c>
      <c r="J337" t="s">
        <v>35</v>
      </c>
      <c r="K337" t="s">
        <v>35</v>
      </c>
      <c r="L337" t="s">
        <v>37</v>
      </c>
      <c r="M337" t="s">
        <v>37</v>
      </c>
      <c r="N337" t="s">
        <v>35</v>
      </c>
      <c r="O337" t="str">
        <f t="shared" si="12"/>
        <v>True</v>
      </c>
      <c r="P337" s="3">
        <v>721396.2</v>
      </c>
      <c r="Q337" s="3">
        <v>1512.9123867000001</v>
      </c>
      <c r="R337" s="3">
        <v>7302.1373073000013</v>
      </c>
      <c r="S337" s="3">
        <v>10401.121107000001</v>
      </c>
      <c r="T337" s="3">
        <v>-182.5880130000009</v>
      </c>
      <c r="U337">
        <v>0.1157211529531206</v>
      </c>
      <c r="V337" s="3">
        <v>-579005.21411399997</v>
      </c>
      <c r="W337">
        <v>101.3261050917308</v>
      </c>
      <c r="X337">
        <v>7.4339488600000001</v>
      </c>
      <c r="Y337">
        <v>19.064307320000001</v>
      </c>
      <c r="Z337" s="5">
        <v>0.71945516680411226</v>
      </c>
      <c r="AA337">
        <v>5.1876823866015354</v>
      </c>
      <c r="AB337">
        <v>61.398220000000002</v>
      </c>
      <c r="AC337">
        <v>83.480799999999988</v>
      </c>
      <c r="AD337" s="5">
        <v>0.57621041335039391</v>
      </c>
      <c r="AE337">
        <v>42.845931612002794</v>
      </c>
      <c r="AF337">
        <v>58.255966503838103</v>
      </c>
      <c r="AG337">
        <v>13.303773426378219</v>
      </c>
      <c r="AH337" t="str">
        <f t="shared" si="11"/>
        <v>True</v>
      </c>
      <c r="AI337">
        <v>5</v>
      </c>
    </row>
    <row r="338" spans="1:35" x14ac:dyDescent="0.35">
      <c r="A338" t="s">
        <v>411</v>
      </c>
      <c r="B338" t="s">
        <v>412</v>
      </c>
      <c r="C338" t="s">
        <v>63</v>
      </c>
      <c r="D338" t="s">
        <v>34</v>
      </c>
      <c r="E338" t="s">
        <v>39</v>
      </c>
      <c r="F338" t="s">
        <v>34</v>
      </c>
      <c r="G338" t="s">
        <v>35</v>
      </c>
      <c r="H338" t="s">
        <v>35</v>
      </c>
      <c r="I338" t="s">
        <v>35</v>
      </c>
      <c r="J338" t="s">
        <v>35</v>
      </c>
      <c r="K338" t="s">
        <v>35</v>
      </c>
      <c r="L338" t="s">
        <v>35</v>
      </c>
      <c r="M338" t="s">
        <v>35</v>
      </c>
      <c r="N338" t="s">
        <v>35</v>
      </c>
      <c r="O338" t="str">
        <f t="shared" si="12"/>
        <v>False</v>
      </c>
      <c r="P338" s="3">
        <v>0</v>
      </c>
      <c r="Q338" s="3">
        <v>13894.908399</v>
      </c>
      <c r="R338" s="3">
        <v>0</v>
      </c>
      <c r="S338" s="3">
        <v>13541.119425000001</v>
      </c>
      <c r="T338" s="3">
        <v>0</v>
      </c>
      <c r="U338">
        <v>0</v>
      </c>
      <c r="V338" s="3">
        <v>0</v>
      </c>
      <c r="W338">
        <v>0</v>
      </c>
      <c r="X338">
        <v>41.809019669999998</v>
      </c>
      <c r="Y338">
        <v>-7.1054273576010019E-15</v>
      </c>
      <c r="Z338" s="5">
        <v>-1.699496284219142E-16</v>
      </c>
      <c r="AA338">
        <v>28.022131146112599</v>
      </c>
      <c r="AB338">
        <v>228.88233</v>
      </c>
      <c r="AC338">
        <v>-2.8421709430404007E-14</v>
      </c>
      <c r="AD338" s="5">
        <v>-1.241760752365812E-16</v>
      </c>
      <c r="AE338">
        <v>153.4063873994638</v>
      </c>
      <c r="AF338">
        <v>-1.9049403103487941E-14</v>
      </c>
      <c r="AG338">
        <v>-3.5527136788005009E-15</v>
      </c>
      <c r="AH338" t="str">
        <f t="shared" si="11"/>
        <v>False</v>
      </c>
      <c r="AI338">
        <v>0</v>
      </c>
    </row>
    <row r="339" spans="1:35" x14ac:dyDescent="0.35">
      <c r="A339" t="s">
        <v>413</v>
      </c>
      <c r="B339" t="s">
        <v>412</v>
      </c>
      <c r="C339" t="s">
        <v>63</v>
      </c>
      <c r="D339" t="s">
        <v>39</v>
      </c>
      <c r="E339" t="s">
        <v>39</v>
      </c>
      <c r="F339" t="s">
        <v>39</v>
      </c>
      <c r="G339" t="s">
        <v>35</v>
      </c>
      <c r="H339" t="s">
        <v>37</v>
      </c>
      <c r="I339" t="s">
        <v>35</v>
      </c>
      <c r="J339" t="s">
        <v>35</v>
      </c>
      <c r="K339" t="s">
        <v>35</v>
      </c>
      <c r="L339" t="s">
        <v>35</v>
      </c>
      <c r="M339" t="s">
        <v>35</v>
      </c>
      <c r="N339" t="s">
        <v>35</v>
      </c>
      <c r="O339" t="str">
        <f t="shared" si="12"/>
        <v>False</v>
      </c>
      <c r="P339" s="3">
        <v>190957</v>
      </c>
      <c r="Q339" s="3">
        <v>12590.004879</v>
      </c>
      <c r="R339" s="3">
        <v>1304.903520000001</v>
      </c>
      <c r="S339" s="3">
        <v>13418.284299999999</v>
      </c>
      <c r="T339" s="3">
        <v>122.83512499999961</v>
      </c>
      <c r="U339">
        <v>8.2101991547835207E-2</v>
      </c>
      <c r="V339" s="3">
        <v>-162402.22709999999</v>
      </c>
      <c r="W339">
        <v>133.7478681190982</v>
      </c>
      <c r="X339">
        <v>38.342173619999997</v>
      </c>
      <c r="Y339">
        <v>3.4668460500000009</v>
      </c>
      <c r="Z339" s="5">
        <v>8.29210078916926E-2</v>
      </c>
      <c r="AA339">
        <v>25.698507788203749</v>
      </c>
      <c r="AB339">
        <v>213.20437999999999</v>
      </c>
      <c r="AC339">
        <v>15.67794999999998</v>
      </c>
      <c r="AD339" s="5">
        <v>6.8497860887732007E-2</v>
      </c>
      <c r="AE339">
        <v>142.89837801608579</v>
      </c>
      <c r="AF339">
        <v>10.508009383378001</v>
      </c>
      <c r="AG339">
        <v>2.323623357908851</v>
      </c>
      <c r="AH339" t="str">
        <f t="shared" si="11"/>
        <v>False</v>
      </c>
      <c r="AI339">
        <v>4</v>
      </c>
    </row>
    <row r="340" spans="1:35" x14ac:dyDescent="0.35">
      <c r="A340" t="s">
        <v>414</v>
      </c>
      <c r="B340" t="s">
        <v>412</v>
      </c>
      <c r="C340" t="s">
        <v>63</v>
      </c>
      <c r="D340" t="s">
        <v>39</v>
      </c>
      <c r="E340" t="s">
        <v>39</v>
      </c>
      <c r="F340" t="s">
        <v>39</v>
      </c>
      <c r="G340" t="s">
        <v>35</v>
      </c>
      <c r="H340" t="s">
        <v>35</v>
      </c>
      <c r="I340" t="s">
        <v>35</v>
      </c>
      <c r="J340" t="s">
        <v>37</v>
      </c>
      <c r="K340" t="s">
        <v>35</v>
      </c>
      <c r="L340" t="s">
        <v>35</v>
      </c>
      <c r="M340" t="s">
        <v>35</v>
      </c>
      <c r="N340" t="s">
        <v>35</v>
      </c>
      <c r="O340" t="str">
        <f t="shared" si="12"/>
        <v>False</v>
      </c>
      <c r="P340" s="3">
        <v>252737</v>
      </c>
      <c r="Q340" s="3">
        <v>12142.588338</v>
      </c>
      <c r="R340" s="3">
        <v>1752.3200609999999</v>
      </c>
      <c r="S340" s="3">
        <v>13376.238525000001</v>
      </c>
      <c r="T340" s="3">
        <v>164.8809</v>
      </c>
      <c r="U340">
        <v>8.3300585193303606E-2</v>
      </c>
      <c r="V340" s="3">
        <v>-214392.98078000001</v>
      </c>
      <c r="W340">
        <v>131.8260344852811</v>
      </c>
      <c r="X340">
        <v>37.15351321</v>
      </c>
      <c r="Y340">
        <v>4.655506459999998</v>
      </c>
      <c r="Z340" s="5">
        <v>0.1113517249805441</v>
      </c>
      <c r="AA340">
        <v>24.901818505361931</v>
      </c>
      <c r="AB340">
        <v>207.82919000000001</v>
      </c>
      <c r="AC340">
        <v>21.053139999999981</v>
      </c>
      <c r="AD340" s="5">
        <v>9.1982373650250596E-2</v>
      </c>
      <c r="AE340">
        <v>139.29570375335121</v>
      </c>
      <c r="AF340">
        <v>14.110683646112591</v>
      </c>
      <c r="AG340">
        <v>3.1203126407506718</v>
      </c>
      <c r="AH340" t="str">
        <f t="shared" si="11"/>
        <v>True</v>
      </c>
      <c r="AI340">
        <v>1</v>
      </c>
    </row>
    <row r="341" spans="1:35" x14ac:dyDescent="0.35">
      <c r="A341" t="s">
        <v>415</v>
      </c>
      <c r="B341" t="s">
        <v>412</v>
      </c>
      <c r="C341" t="s">
        <v>63</v>
      </c>
      <c r="D341" t="s">
        <v>39</v>
      </c>
      <c r="E341" t="s">
        <v>39</v>
      </c>
      <c r="F341" t="s">
        <v>39</v>
      </c>
      <c r="G341" t="s">
        <v>35</v>
      </c>
      <c r="H341" t="s">
        <v>35</v>
      </c>
      <c r="I341" t="s">
        <v>35</v>
      </c>
      <c r="J341" t="s">
        <v>35</v>
      </c>
      <c r="K341" t="s">
        <v>35</v>
      </c>
      <c r="L341" t="s">
        <v>35</v>
      </c>
      <c r="M341" t="s">
        <v>35</v>
      </c>
      <c r="N341" t="s">
        <v>37</v>
      </c>
      <c r="O341" t="str">
        <f t="shared" si="12"/>
        <v>False</v>
      </c>
      <c r="P341" s="3">
        <v>11056.420733999999</v>
      </c>
      <c r="Q341" s="3">
        <v>11595.310622999999</v>
      </c>
      <c r="R341" s="3">
        <v>2299.597776000001</v>
      </c>
      <c r="S341" s="3">
        <v>13361.062625</v>
      </c>
      <c r="T341" s="3">
        <v>180.05680000000081</v>
      </c>
      <c r="U341">
        <v>2.4822210243505372</v>
      </c>
      <c r="V341" s="3">
        <v>38536.670786000032</v>
      </c>
      <c r="W341">
        <v>4.4588552135497084</v>
      </c>
      <c r="X341">
        <v>35.714051349999998</v>
      </c>
      <c r="Y341">
        <v>6.0949683200000004</v>
      </c>
      <c r="Z341" s="5">
        <v>0.1457811823407435</v>
      </c>
      <c r="AA341">
        <v>23.937031735924929</v>
      </c>
      <c r="AB341">
        <v>201.43785</v>
      </c>
      <c r="AC341">
        <v>27.444479999999999</v>
      </c>
      <c r="AD341" s="5">
        <v>0.11990650392277991</v>
      </c>
      <c r="AE341">
        <v>135.0119638069705</v>
      </c>
      <c r="AF341">
        <v>18.3944235924933</v>
      </c>
      <c r="AG341">
        <v>4.0850994101876674</v>
      </c>
      <c r="AH341" t="str">
        <f t="shared" si="11"/>
        <v>False</v>
      </c>
      <c r="AI341">
        <v>0</v>
      </c>
    </row>
    <row r="342" spans="1:35" x14ac:dyDescent="0.35">
      <c r="A342" t="s">
        <v>416</v>
      </c>
      <c r="B342" t="s">
        <v>412</v>
      </c>
      <c r="C342" t="s">
        <v>63</v>
      </c>
      <c r="D342" t="s">
        <v>39</v>
      </c>
      <c r="E342" t="s">
        <v>39</v>
      </c>
      <c r="F342" t="s">
        <v>39</v>
      </c>
      <c r="G342" t="s">
        <v>35</v>
      </c>
      <c r="H342" t="s">
        <v>37</v>
      </c>
      <c r="I342" t="s">
        <v>35</v>
      </c>
      <c r="J342" t="s">
        <v>37</v>
      </c>
      <c r="K342" t="s">
        <v>35</v>
      </c>
      <c r="L342" t="s">
        <v>35</v>
      </c>
      <c r="M342" t="s">
        <v>35</v>
      </c>
      <c r="N342" t="s">
        <v>35</v>
      </c>
      <c r="O342" t="str">
        <f t="shared" si="12"/>
        <v>True</v>
      </c>
      <c r="P342" s="3">
        <v>443694</v>
      </c>
      <c r="Q342" s="3">
        <v>10870.298739</v>
      </c>
      <c r="R342" s="3">
        <v>3024.609660000001</v>
      </c>
      <c r="S342" s="3">
        <v>13256.533775</v>
      </c>
      <c r="T342" s="3">
        <v>284.58564999999948</v>
      </c>
      <c r="U342">
        <v>8.1900904677548E-2</v>
      </c>
      <c r="V342" s="3">
        <v>-377510.09379999997</v>
      </c>
      <c r="W342">
        <v>134.07912148890361</v>
      </c>
      <c r="X342">
        <v>33.773339410000013</v>
      </c>
      <c r="Y342">
        <v>8.0356802599999924</v>
      </c>
      <c r="Z342" s="5">
        <v>0.19219968139472979</v>
      </c>
      <c r="AA342">
        <v>22.63628646782842</v>
      </c>
      <c r="AB342">
        <v>192.54338999999999</v>
      </c>
      <c r="AC342">
        <v>36.338940000000008</v>
      </c>
      <c r="AD342" s="5">
        <v>0.15876690874302099</v>
      </c>
      <c r="AE342">
        <v>129.05052949061661</v>
      </c>
      <c r="AF342">
        <v>24.355857908847192</v>
      </c>
      <c r="AG342">
        <v>5.385844678284176</v>
      </c>
      <c r="AH342" t="str">
        <f t="shared" si="11"/>
        <v>True</v>
      </c>
      <c r="AI342">
        <v>4</v>
      </c>
    </row>
    <row r="343" spans="1:35" x14ac:dyDescent="0.35">
      <c r="A343" t="s">
        <v>417</v>
      </c>
      <c r="B343" t="s">
        <v>412</v>
      </c>
      <c r="C343" t="s">
        <v>63</v>
      </c>
      <c r="D343" t="s">
        <v>39</v>
      </c>
      <c r="E343" t="s">
        <v>39</v>
      </c>
      <c r="F343" t="s">
        <v>39</v>
      </c>
      <c r="G343" t="s">
        <v>35</v>
      </c>
      <c r="H343" t="s">
        <v>37</v>
      </c>
      <c r="I343" t="s">
        <v>35</v>
      </c>
      <c r="J343" t="s">
        <v>35</v>
      </c>
      <c r="K343" t="s">
        <v>35</v>
      </c>
      <c r="L343" t="s">
        <v>35</v>
      </c>
      <c r="M343" t="s">
        <v>35</v>
      </c>
      <c r="N343" t="s">
        <v>37</v>
      </c>
      <c r="O343" t="str">
        <f t="shared" si="12"/>
        <v>True</v>
      </c>
      <c r="P343" s="3">
        <v>201477</v>
      </c>
      <c r="Q343" s="3">
        <v>11706.681573</v>
      </c>
      <c r="R343" s="3">
        <v>2188.226826000001</v>
      </c>
      <c r="S343" s="3">
        <v>13371.678250000001</v>
      </c>
      <c r="T343" s="3">
        <v>169.44117499999919</v>
      </c>
      <c r="U343">
        <v>0.12957176253368871</v>
      </c>
      <c r="V343" s="3">
        <v>-154323.63998000001</v>
      </c>
      <c r="W343">
        <v>85.456052300215276</v>
      </c>
      <c r="X343">
        <v>36.009992599999997</v>
      </c>
      <c r="Y343">
        <v>5.799027069999994</v>
      </c>
      <c r="Z343" s="5">
        <v>0.1387027755200172</v>
      </c>
      <c r="AA343">
        <v>24.135383780160861</v>
      </c>
      <c r="AB343">
        <v>202.7766</v>
      </c>
      <c r="AC343">
        <v>26.105729999999991</v>
      </c>
      <c r="AD343" s="5">
        <v>0.1140574285485472</v>
      </c>
      <c r="AE343">
        <v>135.90924932975869</v>
      </c>
      <c r="AF343">
        <v>17.497138069705091</v>
      </c>
      <c r="AG343">
        <v>3.886747365951738</v>
      </c>
      <c r="AH343" t="str">
        <f t="shared" si="11"/>
        <v>False</v>
      </c>
      <c r="AI343">
        <v>4</v>
      </c>
    </row>
    <row r="344" spans="1:35" x14ac:dyDescent="0.35">
      <c r="A344" t="s">
        <v>418</v>
      </c>
      <c r="B344" t="s">
        <v>412</v>
      </c>
      <c r="C344" t="s">
        <v>63</v>
      </c>
      <c r="D344" t="s">
        <v>39</v>
      </c>
      <c r="E344" t="s">
        <v>39</v>
      </c>
      <c r="F344" t="s">
        <v>39</v>
      </c>
      <c r="G344" t="s">
        <v>35</v>
      </c>
      <c r="H344" t="s">
        <v>35</v>
      </c>
      <c r="I344" t="s">
        <v>35</v>
      </c>
      <c r="J344" t="s">
        <v>37</v>
      </c>
      <c r="K344" t="s">
        <v>35</v>
      </c>
      <c r="L344" t="s">
        <v>35</v>
      </c>
      <c r="M344" t="s">
        <v>35</v>
      </c>
      <c r="N344" t="s">
        <v>37</v>
      </c>
      <c r="O344" t="str">
        <f t="shared" si="12"/>
        <v>True</v>
      </c>
      <c r="P344" s="3">
        <v>263151</v>
      </c>
      <c r="Q344" s="3">
        <v>11287.259442</v>
      </c>
      <c r="R344" s="3">
        <v>2607.6489570000022</v>
      </c>
      <c r="S344" s="3">
        <v>13331.216425000001</v>
      </c>
      <c r="T344" s="3">
        <v>209.9029999999992</v>
      </c>
      <c r="U344">
        <v>0.1183727213652998</v>
      </c>
      <c r="V344" s="3">
        <v>-206799.96085999999</v>
      </c>
      <c r="W344">
        <v>93.397035446399016</v>
      </c>
      <c r="X344">
        <v>34.895286769999998</v>
      </c>
      <c r="Y344">
        <v>6.9137328999999994</v>
      </c>
      <c r="Z344" s="5">
        <v>0.1653646259723458</v>
      </c>
      <c r="AA344">
        <v>23.388261910187669</v>
      </c>
      <c r="AB344">
        <v>197.73242999999999</v>
      </c>
      <c r="AC344">
        <v>31.149899999999999</v>
      </c>
      <c r="AD344" s="5">
        <v>0.13609569598491941</v>
      </c>
      <c r="AE344">
        <v>132.52843833780159</v>
      </c>
      <c r="AF344">
        <v>20.8779490616622</v>
      </c>
      <c r="AG344">
        <v>4.6338692359249336</v>
      </c>
      <c r="AH344" t="str">
        <f t="shared" si="11"/>
        <v>True</v>
      </c>
      <c r="AI344">
        <v>1</v>
      </c>
    </row>
    <row r="345" spans="1:35" x14ac:dyDescent="0.35">
      <c r="A345" t="s">
        <v>419</v>
      </c>
      <c r="B345" t="s">
        <v>412</v>
      </c>
      <c r="C345" t="s">
        <v>63</v>
      </c>
      <c r="D345" t="s">
        <v>39</v>
      </c>
      <c r="E345" t="s">
        <v>39</v>
      </c>
      <c r="F345" t="s">
        <v>39</v>
      </c>
      <c r="G345" t="s">
        <v>35</v>
      </c>
      <c r="H345" t="s">
        <v>37</v>
      </c>
      <c r="I345" t="s">
        <v>35</v>
      </c>
      <c r="J345" t="s">
        <v>37</v>
      </c>
      <c r="K345" t="s">
        <v>35</v>
      </c>
      <c r="L345" t="s">
        <v>35</v>
      </c>
      <c r="M345" t="s">
        <v>35</v>
      </c>
      <c r="N345" t="s">
        <v>37</v>
      </c>
      <c r="O345" t="str">
        <f t="shared" si="12"/>
        <v>True</v>
      </c>
      <c r="P345" s="3">
        <v>454103</v>
      </c>
      <c r="Q345" s="3">
        <v>11254.030164</v>
      </c>
      <c r="R345" s="3">
        <v>2640.878235000001</v>
      </c>
      <c r="S345" s="3">
        <v>13327.88855</v>
      </c>
      <c r="T345" s="3">
        <v>213.2308750000002</v>
      </c>
      <c r="U345">
        <v>6.9477959846114198E-2</v>
      </c>
      <c r="V345" s="3">
        <v>-397020.81780000002</v>
      </c>
      <c r="W345">
        <v>159.10498950756639</v>
      </c>
      <c r="X345">
        <v>34.806923820000002</v>
      </c>
      <c r="Y345">
        <v>7.0020958499999963</v>
      </c>
      <c r="Z345" s="5">
        <v>0.16747811609235941</v>
      </c>
      <c r="AA345">
        <v>23.32903741286864</v>
      </c>
      <c r="AB345">
        <v>197.33217999999999</v>
      </c>
      <c r="AC345">
        <v>31.550149999999999</v>
      </c>
      <c r="AD345" s="5">
        <v>0.13784441114349019</v>
      </c>
      <c r="AE345">
        <v>132.26017426273461</v>
      </c>
      <c r="AF345">
        <v>21.146213136729219</v>
      </c>
      <c r="AG345">
        <v>4.6930937332439626</v>
      </c>
      <c r="AH345" t="str">
        <f t="shared" si="11"/>
        <v>True</v>
      </c>
      <c r="AI345">
        <v>4</v>
      </c>
    </row>
    <row r="346" spans="1:35" x14ac:dyDescent="0.35">
      <c r="A346" t="s">
        <v>420</v>
      </c>
      <c r="B346" t="s">
        <v>421</v>
      </c>
      <c r="C346" t="s">
        <v>232</v>
      </c>
      <c r="D346" t="s">
        <v>422</v>
      </c>
      <c r="E346" t="s">
        <v>39</v>
      </c>
      <c r="F346" t="s">
        <v>422</v>
      </c>
      <c r="G346" t="s">
        <v>35</v>
      </c>
      <c r="H346" t="s">
        <v>35</v>
      </c>
      <c r="I346" t="s">
        <v>35</v>
      </c>
      <c r="J346" t="s">
        <v>35</v>
      </c>
      <c r="K346" t="s">
        <v>35</v>
      </c>
      <c r="L346" t="s">
        <v>35</v>
      </c>
      <c r="M346" t="s">
        <v>35</v>
      </c>
      <c r="N346" t="s">
        <v>35</v>
      </c>
      <c r="O346" t="str">
        <f t="shared" si="12"/>
        <v>False</v>
      </c>
      <c r="P346" s="3">
        <v>0</v>
      </c>
      <c r="Q346" s="3">
        <v>0</v>
      </c>
      <c r="R346" s="3">
        <v>0</v>
      </c>
      <c r="S346" s="3">
        <v>44045.896999999997</v>
      </c>
      <c r="T346" s="3">
        <v>0</v>
      </c>
      <c r="U346">
        <v>0</v>
      </c>
      <c r="V346" s="3">
        <v>0</v>
      </c>
      <c r="W346">
        <v>0</v>
      </c>
      <c r="X346">
        <v>17.618358799999999</v>
      </c>
      <c r="Y346">
        <v>0</v>
      </c>
      <c r="Z346" s="5">
        <v>0</v>
      </c>
      <c r="AA346">
        <v>22.022948499999998</v>
      </c>
      <c r="AB346">
        <v>223.0172</v>
      </c>
      <c r="AC346">
        <v>0</v>
      </c>
      <c r="AD346" s="5">
        <v>0</v>
      </c>
      <c r="AE346">
        <v>278.7715</v>
      </c>
      <c r="AF346">
        <v>0</v>
      </c>
      <c r="AG346">
        <v>0</v>
      </c>
      <c r="AH346" t="str">
        <f t="shared" si="11"/>
        <v>False</v>
      </c>
      <c r="AI346">
        <v>0</v>
      </c>
    </row>
    <row r="347" spans="1:35" x14ac:dyDescent="0.35">
      <c r="A347" t="s">
        <v>423</v>
      </c>
      <c r="B347" t="s">
        <v>421</v>
      </c>
      <c r="C347" t="s">
        <v>232</v>
      </c>
      <c r="D347" t="s">
        <v>422</v>
      </c>
      <c r="E347" t="s">
        <v>39</v>
      </c>
      <c r="F347" t="s">
        <v>422</v>
      </c>
      <c r="G347" t="s">
        <v>37</v>
      </c>
      <c r="H347" t="s">
        <v>35</v>
      </c>
      <c r="I347" t="s">
        <v>35</v>
      </c>
      <c r="J347" t="s">
        <v>35</v>
      </c>
      <c r="K347" t="s">
        <v>35</v>
      </c>
      <c r="L347" t="s">
        <v>35</v>
      </c>
      <c r="M347" t="s">
        <v>35</v>
      </c>
      <c r="N347" t="s">
        <v>35</v>
      </c>
      <c r="O347" t="str">
        <f t="shared" si="12"/>
        <v>False</v>
      </c>
      <c r="P347" s="3">
        <v>45495</v>
      </c>
      <c r="Q347" s="3">
        <v>0</v>
      </c>
      <c r="R347" s="3">
        <v>0</v>
      </c>
      <c r="S347" s="3">
        <v>39389.301249999997</v>
      </c>
      <c r="T347" s="3">
        <v>4656.5957499999986</v>
      </c>
      <c r="U347">
        <v>0.51824815913836675</v>
      </c>
      <c r="V347" s="3">
        <v>47636.914999999979</v>
      </c>
      <c r="W347">
        <v>9.7700127824065497</v>
      </c>
      <c r="X347">
        <v>15.755720500000001</v>
      </c>
      <c r="Y347">
        <v>1.8626382999999991</v>
      </c>
      <c r="Z347" s="5">
        <v>0.1057214421129849</v>
      </c>
      <c r="AA347">
        <v>19.694650625000001</v>
      </c>
      <c r="AB347">
        <v>199.43950000000001</v>
      </c>
      <c r="AC347">
        <v>23.577699999999989</v>
      </c>
      <c r="AD347" s="5">
        <v>0.105721442112985</v>
      </c>
      <c r="AE347">
        <v>249.299375</v>
      </c>
      <c r="AF347">
        <v>29.472124999999991</v>
      </c>
      <c r="AG347">
        <v>2.328297874999997</v>
      </c>
      <c r="AH347" t="str">
        <f t="shared" si="11"/>
        <v>True</v>
      </c>
      <c r="AI347">
        <v>2</v>
      </c>
    </row>
    <row r="348" spans="1:35" x14ac:dyDescent="0.35">
      <c r="A348" t="s">
        <v>424</v>
      </c>
      <c r="B348" t="s">
        <v>421</v>
      </c>
      <c r="C348" t="s">
        <v>232</v>
      </c>
      <c r="D348" t="s">
        <v>422</v>
      </c>
      <c r="E348" t="s">
        <v>39</v>
      </c>
      <c r="F348" t="s">
        <v>422</v>
      </c>
      <c r="G348" t="s">
        <v>35</v>
      </c>
      <c r="H348" t="s">
        <v>37</v>
      </c>
      <c r="I348" t="s">
        <v>35</v>
      </c>
      <c r="J348" t="s">
        <v>35</v>
      </c>
      <c r="K348" t="s">
        <v>35</v>
      </c>
      <c r="L348" t="s">
        <v>35</v>
      </c>
      <c r="M348" t="s">
        <v>35</v>
      </c>
      <c r="N348" t="s">
        <v>35</v>
      </c>
      <c r="O348" t="str">
        <f t="shared" si="12"/>
        <v>False</v>
      </c>
      <c r="P348" s="3">
        <v>109188</v>
      </c>
      <c r="Q348" s="3">
        <v>0</v>
      </c>
      <c r="R348" s="3">
        <v>0</v>
      </c>
      <c r="S348" s="3">
        <v>39389.301249999997</v>
      </c>
      <c r="T348" s="3">
        <v>4656.5957499999986</v>
      </c>
      <c r="U348">
        <v>0.21593673297431951</v>
      </c>
      <c r="V348" s="3">
        <v>-16056.085000000019</v>
      </c>
      <c r="W348">
        <v>23.448030677775719</v>
      </c>
      <c r="X348">
        <v>15.755720500000001</v>
      </c>
      <c r="Y348">
        <v>1.8626382999999991</v>
      </c>
      <c r="Z348" s="5">
        <v>0.1057214421129849</v>
      </c>
      <c r="AA348">
        <v>19.694650625000001</v>
      </c>
      <c r="AB348">
        <v>199.43950000000001</v>
      </c>
      <c r="AC348">
        <v>23.577699999999989</v>
      </c>
      <c r="AD348" s="5">
        <v>0.105721442112985</v>
      </c>
      <c r="AE348">
        <v>249.299375</v>
      </c>
      <c r="AF348">
        <v>29.472124999999991</v>
      </c>
      <c r="AG348">
        <v>2.328297874999997</v>
      </c>
      <c r="AH348" t="str">
        <f t="shared" si="11"/>
        <v>False</v>
      </c>
      <c r="AI348">
        <v>3</v>
      </c>
    </row>
    <row r="349" spans="1:35" x14ac:dyDescent="0.35">
      <c r="A349" t="s">
        <v>425</v>
      </c>
      <c r="B349" t="s">
        <v>421</v>
      </c>
      <c r="C349" t="s">
        <v>232</v>
      </c>
      <c r="D349" t="s">
        <v>281</v>
      </c>
      <c r="E349" t="s">
        <v>39</v>
      </c>
      <c r="F349" t="s">
        <v>281</v>
      </c>
      <c r="G349" t="s">
        <v>35</v>
      </c>
      <c r="H349" t="s">
        <v>35</v>
      </c>
      <c r="I349" t="s">
        <v>35</v>
      </c>
      <c r="J349" t="s">
        <v>35</v>
      </c>
      <c r="K349" t="s">
        <v>35</v>
      </c>
      <c r="L349" t="s">
        <v>37</v>
      </c>
      <c r="M349" t="s">
        <v>35</v>
      </c>
      <c r="N349" t="s">
        <v>35</v>
      </c>
      <c r="O349" t="str">
        <f t="shared" si="12"/>
        <v>False</v>
      </c>
      <c r="P349" s="3">
        <v>78214.62</v>
      </c>
      <c r="Q349" s="3">
        <v>0</v>
      </c>
      <c r="R349" s="3">
        <v>0</v>
      </c>
      <c r="S349" s="3">
        <v>34026.623249999997</v>
      </c>
      <c r="T349" s="3">
        <v>10019.27375</v>
      </c>
      <c r="U349">
        <v>0.64860636029427754</v>
      </c>
      <c r="V349" s="3">
        <v>122170.855</v>
      </c>
      <c r="W349">
        <v>7.8064161087523916</v>
      </c>
      <c r="X349">
        <v>13.6106493</v>
      </c>
      <c r="Y349">
        <v>4.0077094999999989</v>
      </c>
      <c r="Z349" s="5">
        <v>0.2274734863499317</v>
      </c>
      <c r="AA349">
        <v>17.013311625</v>
      </c>
      <c r="AB349">
        <v>172.2867</v>
      </c>
      <c r="AC349">
        <v>50.730500000000013</v>
      </c>
      <c r="AD349" s="5">
        <v>0.22747348634993181</v>
      </c>
      <c r="AE349">
        <v>215.358375</v>
      </c>
      <c r="AF349">
        <v>63.413125000000008</v>
      </c>
      <c r="AG349">
        <v>5.0096368749999982</v>
      </c>
      <c r="AH349" t="str">
        <f t="shared" si="11"/>
        <v>False</v>
      </c>
      <c r="AI349">
        <v>3</v>
      </c>
    </row>
    <row r="350" spans="1:35" x14ac:dyDescent="0.35">
      <c r="A350" t="s">
        <v>426</v>
      </c>
      <c r="B350" t="s">
        <v>421</v>
      </c>
      <c r="C350" t="s">
        <v>232</v>
      </c>
      <c r="D350" t="s">
        <v>422</v>
      </c>
      <c r="E350" t="s">
        <v>39</v>
      </c>
      <c r="F350" t="s">
        <v>422</v>
      </c>
      <c r="G350" t="s">
        <v>35</v>
      </c>
      <c r="H350" t="s">
        <v>35</v>
      </c>
      <c r="I350" t="s">
        <v>37</v>
      </c>
      <c r="J350" t="s">
        <v>35</v>
      </c>
      <c r="K350" t="s">
        <v>35</v>
      </c>
      <c r="L350" t="s">
        <v>35</v>
      </c>
      <c r="M350" t="s">
        <v>35</v>
      </c>
      <c r="N350" t="s">
        <v>35</v>
      </c>
      <c r="O350" t="str">
        <f t="shared" si="12"/>
        <v>False</v>
      </c>
      <c r="P350" s="3">
        <v>134640</v>
      </c>
      <c r="Q350" s="3">
        <v>0</v>
      </c>
      <c r="R350" s="3">
        <v>0</v>
      </c>
      <c r="S350" s="3">
        <v>41458.587749999999</v>
      </c>
      <c r="T350" s="3">
        <v>2587.3092500000012</v>
      </c>
      <c r="U350">
        <v>9.7298722519310696E-2</v>
      </c>
      <c r="V350" s="3">
        <v>-82893.814999999988</v>
      </c>
      <c r="W350">
        <v>52.038618885624118</v>
      </c>
      <c r="X350">
        <v>16.583435099999999</v>
      </c>
      <c r="Y350">
        <v>1.0349237</v>
      </c>
      <c r="Z350" s="5">
        <v>5.8741209198214302E-2</v>
      </c>
      <c r="AA350">
        <v>20.729293875</v>
      </c>
      <c r="AB350">
        <v>209.9169</v>
      </c>
      <c r="AC350">
        <v>13.100300000000001</v>
      </c>
      <c r="AD350" s="5">
        <v>5.8741209198214302E-2</v>
      </c>
      <c r="AE350">
        <v>262.39612499999998</v>
      </c>
      <c r="AF350">
        <v>16.375375000000009</v>
      </c>
      <c r="AG350">
        <v>1.2936546249999989</v>
      </c>
      <c r="AH350" t="str">
        <f t="shared" si="11"/>
        <v>True</v>
      </c>
      <c r="AI350">
        <v>1</v>
      </c>
    </row>
    <row r="351" spans="1:35" x14ac:dyDescent="0.35">
      <c r="A351" t="s">
        <v>427</v>
      </c>
      <c r="B351" t="s">
        <v>421</v>
      </c>
      <c r="C351" t="s">
        <v>232</v>
      </c>
      <c r="D351" t="s">
        <v>281</v>
      </c>
      <c r="E351" t="s">
        <v>39</v>
      </c>
      <c r="F351" t="s">
        <v>281</v>
      </c>
      <c r="G351" t="s">
        <v>37</v>
      </c>
      <c r="H351" t="s">
        <v>35</v>
      </c>
      <c r="I351" t="s">
        <v>35</v>
      </c>
      <c r="J351" t="s">
        <v>35</v>
      </c>
      <c r="K351" t="s">
        <v>35</v>
      </c>
      <c r="L351" t="s">
        <v>37</v>
      </c>
      <c r="M351" t="s">
        <v>35</v>
      </c>
      <c r="N351" t="s">
        <v>35</v>
      </c>
      <c r="O351" t="str">
        <f t="shared" si="12"/>
        <v>True</v>
      </c>
      <c r="P351" s="3">
        <v>123709.6</v>
      </c>
      <c r="Q351" s="3">
        <v>0</v>
      </c>
      <c r="R351" s="3">
        <v>0</v>
      </c>
      <c r="S351" s="3">
        <v>29748.200499999999</v>
      </c>
      <c r="T351" s="3">
        <v>14297.6965</v>
      </c>
      <c r="U351">
        <v>0.5851882149808908</v>
      </c>
      <c r="V351" s="3">
        <v>162244.32999999999</v>
      </c>
      <c r="W351">
        <v>8.6524147438715016</v>
      </c>
      <c r="X351">
        <v>11.8992802</v>
      </c>
      <c r="Y351">
        <v>5.7190785999999996</v>
      </c>
      <c r="Z351" s="5">
        <v>0.32460904360739889</v>
      </c>
      <c r="AA351">
        <v>14.87410025</v>
      </c>
      <c r="AB351">
        <v>150.62379999999999</v>
      </c>
      <c r="AC351">
        <v>72.393400000000014</v>
      </c>
      <c r="AD351" s="5">
        <v>0.32460904360739901</v>
      </c>
      <c r="AE351">
        <v>188.27975000000001</v>
      </c>
      <c r="AF351">
        <v>90.491749999999996</v>
      </c>
      <c r="AG351">
        <v>7.1488482499999986</v>
      </c>
      <c r="AH351" t="str">
        <f t="shared" si="11"/>
        <v>True</v>
      </c>
      <c r="AI351">
        <v>3</v>
      </c>
    </row>
    <row r="352" spans="1:35" x14ac:dyDescent="0.35">
      <c r="A352" t="s">
        <v>428</v>
      </c>
      <c r="B352" t="s">
        <v>421</v>
      </c>
      <c r="C352" t="s">
        <v>232</v>
      </c>
      <c r="D352" t="s">
        <v>422</v>
      </c>
      <c r="E352" t="s">
        <v>39</v>
      </c>
      <c r="F352" t="s">
        <v>422</v>
      </c>
      <c r="G352" t="s">
        <v>37</v>
      </c>
      <c r="H352" t="s">
        <v>35</v>
      </c>
      <c r="I352" t="s">
        <v>37</v>
      </c>
      <c r="J352" t="s">
        <v>35</v>
      </c>
      <c r="K352" t="s">
        <v>35</v>
      </c>
      <c r="L352" t="s">
        <v>35</v>
      </c>
      <c r="M352" t="s">
        <v>35</v>
      </c>
      <c r="N352" t="s">
        <v>35</v>
      </c>
      <c r="O352" t="str">
        <f t="shared" si="12"/>
        <v>True</v>
      </c>
      <c r="P352" s="3">
        <v>180135</v>
      </c>
      <c r="Q352" s="3">
        <v>0</v>
      </c>
      <c r="R352" s="3">
        <v>0</v>
      </c>
      <c r="S352" s="3">
        <v>36878.799750000013</v>
      </c>
      <c r="T352" s="3">
        <v>7167.097249999998</v>
      </c>
      <c r="U352">
        <v>0.20145501984622641</v>
      </c>
      <c r="V352" s="3">
        <v>-36793.055000000051</v>
      </c>
      <c r="W352">
        <v>25.133606216938109</v>
      </c>
      <c r="X352">
        <v>14.7515199</v>
      </c>
      <c r="Y352">
        <v>2.8668388999999981</v>
      </c>
      <c r="Z352" s="5">
        <v>0.16271883962313211</v>
      </c>
      <c r="AA352">
        <v>18.439399874999999</v>
      </c>
      <c r="AB352">
        <v>186.72810000000001</v>
      </c>
      <c r="AC352">
        <v>36.289099999999991</v>
      </c>
      <c r="AD352" s="5">
        <v>0.16271883962313219</v>
      </c>
      <c r="AE352">
        <v>233.41012499999999</v>
      </c>
      <c r="AF352">
        <v>45.361374999999988</v>
      </c>
      <c r="AG352">
        <v>3.5835486249999948</v>
      </c>
      <c r="AH352" t="str">
        <f t="shared" si="11"/>
        <v>True</v>
      </c>
      <c r="AI352">
        <v>2</v>
      </c>
    </row>
    <row r="353" spans="1:35" x14ac:dyDescent="0.35">
      <c r="A353" t="s">
        <v>429</v>
      </c>
      <c r="B353" t="s">
        <v>421</v>
      </c>
      <c r="C353" t="s">
        <v>232</v>
      </c>
      <c r="D353" t="s">
        <v>281</v>
      </c>
      <c r="E353" t="s">
        <v>39</v>
      </c>
      <c r="F353" t="s">
        <v>281</v>
      </c>
      <c r="G353" t="s">
        <v>35</v>
      </c>
      <c r="H353" t="s">
        <v>35</v>
      </c>
      <c r="I353" t="s">
        <v>37</v>
      </c>
      <c r="J353" t="s">
        <v>35</v>
      </c>
      <c r="K353" t="s">
        <v>35</v>
      </c>
      <c r="L353" t="s">
        <v>37</v>
      </c>
      <c r="M353" t="s">
        <v>35</v>
      </c>
      <c r="N353" t="s">
        <v>35</v>
      </c>
      <c r="O353" t="str">
        <f t="shared" si="12"/>
        <v>True</v>
      </c>
      <c r="P353" s="3">
        <v>212854.6</v>
      </c>
      <c r="Q353" s="3">
        <v>0</v>
      </c>
      <c r="R353" s="3">
        <v>0</v>
      </c>
      <c r="S353" s="3">
        <v>31705.20825</v>
      </c>
      <c r="T353" s="3">
        <v>12340.688749999999</v>
      </c>
      <c r="U353">
        <v>0.29355484917873509</v>
      </c>
      <c r="V353" s="3">
        <v>33959.174999999988</v>
      </c>
      <c r="W353">
        <v>17.24819451426486</v>
      </c>
      <c r="X353">
        <v>12.6820833</v>
      </c>
      <c r="Y353">
        <v>4.9362754999999989</v>
      </c>
      <c r="Z353" s="5">
        <v>0.28017794143231989</v>
      </c>
      <c r="AA353">
        <v>15.852604124999999</v>
      </c>
      <c r="AB353">
        <v>160.53270000000001</v>
      </c>
      <c r="AC353">
        <v>62.484499999999997</v>
      </c>
      <c r="AD353" s="5">
        <v>0.28017794143232</v>
      </c>
      <c r="AE353">
        <v>200.665875</v>
      </c>
      <c r="AF353">
        <v>78.105625000000003</v>
      </c>
      <c r="AG353">
        <v>6.1703443749999973</v>
      </c>
      <c r="AH353" t="str">
        <f t="shared" si="11"/>
        <v>True</v>
      </c>
      <c r="AI353">
        <v>3</v>
      </c>
    </row>
    <row r="354" spans="1:35" x14ac:dyDescent="0.35">
      <c r="A354" t="s">
        <v>430</v>
      </c>
      <c r="B354" t="s">
        <v>421</v>
      </c>
      <c r="C354" t="s">
        <v>232</v>
      </c>
      <c r="D354" t="s">
        <v>281</v>
      </c>
      <c r="E354" t="s">
        <v>39</v>
      </c>
      <c r="F354" t="s">
        <v>281</v>
      </c>
      <c r="G354" t="s">
        <v>35</v>
      </c>
      <c r="H354" t="s">
        <v>37</v>
      </c>
      <c r="I354" t="s">
        <v>35</v>
      </c>
      <c r="J354" t="s">
        <v>35</v>
      </c>
      <c r="K354" t="s">
        <v>35</v>
      </c>
      <c r="L354" t="s">
        <v>37</v>
      </c>
      <c r="M354" t="s">
        <v>35</v>
      </c>
      <c r="N354" t="s">
        <v>35</v>
      </c>
      <c r="O354" t="str">
        <f t="shared" si="12"/>
        <v>True</v>
      </c>
      <c r="P354" s="3">
        <v>187402.6</v>
      </c>
      <c r="Q354" s="3">
        <v>0</v>
      </c>
      <c r="R354" s="3">
        <v>0</v>
      </c>
      <c r="S354" s="3">
        <v>29748.200499999999</v>
      </c>
      <c r="T354" s="3">
        <v>14297.6965</v>
      </c>
      <c r="U354">
        <v>0.38629880268470129</v>
      </c>
      <c r="V354" s="3">
        <v>98551.330000000045</v>
      </c>
      <c r="W354">
        <v>13.107188280293959</v>
      </c>
      <c r="X354">
        <v>11.8992802</v>
      </c>
      <c r="Y354">
        <v>5.7190785999999996</v>
      </c>
      <c r="Z354" s="5">
        <v>0.32460904360739889</v>
      </c>
      <c r="AA354">
        <v>14.87410025</v>
      </c>
      <c r="AB354">
        <v>150.62379999999999</v>
      </c>
      <c r="AC354">
        <v>72.393400000000014</v>
      </c>
      <c r="AD354" s="5">
        <v>0.32460904360739901</v>
      </c>
      <c r="AE354">
        <v>188.27975000000001</v>
      </c>
      <c r="AF354">
        <v>90.491749999999996</v>
      </c>
      <c r="AG354">
        <v>7.1488482499999986</v>
      </c>
      <c r="AH354" t="str">
        <f t="shared" si="11"/>
        <v>False</v>
      </c>
      <c r="AI354">
        <v>3</v>
      </c>
    </row>
    <row r="355" spans="1:35" x14ac:dyDescent="0.35">
      <c r="A355" t="s">
        <v>431</v>
      </c>
      <c r="B355" t="s">
        <v>421</v>
      </c>
      <c r="C355" t="s">
        <v>232</v>
      </c>
      <c r="D355" t="s">
        <v>422</v>
      </c>
      <c r="E355" t="s">
        <v>39</v>
      </c>
      <c r="F355" t="s">
        <v>422</v>
      </c>
      <c r="G355" t="s">
        <v>35</v>
      </c>
      <c r="H355" t="s">
        <v>37</v>
      </c>
      <c r="I355" t="s">
        <v>37</v>
      </c>
      <c r="J355" t="s">
        <v>35</v>
      </c>
      <c r="K355" t="s">
        <v>35</v>
      </c>
      <c r="L355" t="s">
        <v>35</v>
      </c>
      <c r="M355" t="s">
        <v>35</v>
      </c>
      <c r="N355" t="s">
        <v>35</v>
      </c>
      <c r="O355" t="str">
        <f t="shared" si="12"/>
        <v>True</v>
      </c>
      <c r="P355" s="3">
        <v>243828</v>
      </c>
      <c r="Q355" s="3">
        <v>0</v>
      </c>
      <c r="R355" s="3">
        <v>0</v>
      </c>
      <c r="S355" s="3">
        <v>36878.78</v>
      </c>
      <c r="T355" s="3">
        <v>7167.1169999999984</v>
      </c>
      <c r="U355">
        <v>0.14883114326492439</v>
      </c>
      <c r="V355" s="3">
        <v>-100485.66</v>
      </c>
      <c r="W355">
        <v>34.020373882552782</v>
      </c>
      <c r="X355">
        <v>14.751512</v>
      </c>
      <c r="Y355">
        <v>2.8668467999999989</v>
      </c>
      <c r="Z355" s="5">
        <v>0.16271928801904059</v>
      </c>
      <c r="AA355">
        <v>18.43939</v>
      </c>
      <c r="AB355">
        <v>186.72800000000001</v>
      </c>
      <c r="AC355">
        <v>36.289199999999987</v>
      </c>
      <c r="AD355" s="5">
        <v>0.16271928801904059</v>
      </c>
      <c r="AE355">
        <v>233.41</v>
      </c>
      <c r="AF355">
        <v>45.361499999999999</v>
      </c>
      <c r="AG355">
        <v>3.5835584999999992</v>
      </c>
      <c r="AH355" t="str">
        <f t="shared" si="11"/>
        <v>True</v>
      </c>
      <c r="AI355">
        <v>3</v>
      </c>
    </row>
    <row r="356" spans="1:35" x14ac:dyDescent="0.35">
      <c r="A356" t="s">
        <v>432</v>
      </c>
      <c r="B356" t="s">
        <v>421</v>
      </c>
      <c r="C356" t="s">
        <v>232</v>
      </c>
      <c r="D356" t="s">
        <v>281</v>
      </c>
      <c r="E356" t="s">
        <v>39</v>
      </c>
      <c r="F356" t="s">
        <v>281</v>
      </c>
      <c r="G356" t="s">
        <v>37</v>
      </c>
      <c r="H356" t="s">
        <v>35</v>
      </c>
      <c r="I356" t="s">
        <v>37</v>
      </c>
      <c r="J356" t="s">
        <v>35</v>
      </c>
      <c r="K356" t="s">
        <v>35</v>
      </c>
      <c r="L356" t="s">
        <v>37</v>
      </c>
      <c r="M356" t="s">
        <v>35</v>
      </c>
      <c r="N356" t="s">
        <v>35</v>
      </c>
      <c r="O356" t="str">
        <f t="shared" si="12"/>
        <v>True</v>
      </c>
      <c r="P356" s="3">
        <v>258349.6</v>
      </c>
      <c r="Q356" s="3">
        <v>0</v>
      </c>
      <c r="R356" s="3">
        <v>0</v>
      </c>
      <c r="S356" s="3">
        <v>27567.089499999998</v>
      </c>
      <c r="T356" s="3">
        <v>16478.807499999999</v>
      </c>
      <c r="U356">
        <v>0.32296159932122992</v>
      </c>
      <c r="V356" s="3">
        <v>71226.550000000017</v>
      </c>
      <c r="W356">
        <v>15.677687842399999</v>
      </c>
      <c r="X356">
        <v>11.026835800000001</v>
      </c>
      <c r="Y356">
        <v>6.5915229999999996</v>
      </c>
      <c r="Z356" s="5">
        <v>0.37412809415596648</v>
      </c>
      <c r="AA356">
        <v>13.783544750000001</v>
      </c>
      <c r="AB356">
        <v>139.58019999999999</v>
      </c>
      <c r="AC356">
        <v>83.437000000000012</v>
      </c>
      <c r="AD356" s="5">
        <v>0.37412809415596648</v>
      </c>
      <c r="AE356">
        <v>174.47524999999999</v>
      </c>
      <c r="AF356">
        <v>104.29625</v>
      </c>
      <c r="AG356">
        <v>8.2394037499999992</v>
      </c>
      <c r="AH356" t="str">
        <f t="shared" si="11"/>
        <v>True</v>
      </c>
      <c r="AI356">
        <v>3</v>
      </c>
    </row>
    <row r="357" spans="1:35" x14ac:dyDescent="0.35">
      <c r="A357" t="s">
        <v>433</v>
      </c>
      <c r="B357" t="s">
        <v>434</v>
      </c>
      <c r="C357" t="s">
        <v>232</v>
      </c>
      <c r="D357" t="s">
        <v>52</v>
      </c>
      <c r="E357" t="s">
        <v>77</v>
      </c>
      <c r="F357" t="s">
        <v>52</v>
      </c>
      <c r="G357" t="s">
        <v>35</v>
      </c>
      <c r="H357" t="s">
        <v>35</v>
      </c>
      <c r="I357" t="s">
        <v>35</v>
      </c>
      <c r="J357" t="s">
        <v>35</v>
      </c>
      <c r="K357" t="s">
        <v>35</v>
      </c>
      <c r="L357" t="s">
        <v>35</v>
      </c>
      <c r="M357" t="s">
        <v>35</v>
      </c>
      <c r="N357" t="s">
        <v>35</v>
      </c>
      <c r="O357" t="str">
        <f t="shared" si="12"/>
        <v>False</v>
      </c>
      <c r="P357" s="3">
        <v>0</v>
      </c>
      <c r="Q357" s="3">
        <v>0</v>
      </c>
      <c r="R357" s="3">
        <v>0</v>
      </c>
      <c r="S357" s="3">
        <v>18093.928925</v>
      </c>
      <c r="T357" s="3">
        <v>0</v>
      </c>
      <c r="U357">
        <v>0</v>
      </c>
      <c r="V357" s="3">
        <v>0</v>
      </c>
      <c r="W357">
        <v>0</v>
      </c>
      <c r="X357">
        <v>7.2375715700000001</v>
      </c>
      <c r="Y357">
        <v>0</v>
      </c>
      <c r="Z357" s="5">
        <v>0</v>
      </c>
      <c r="AA357">
        <v>2.7188473215627349</v>
      </c>
      <c r="AB357">
        <v>91.614829999999998</v>
      </c>
      <c r="AC357">
        <v>0</v>
      </c>
      <c r="AD357" s="5">
        <v>0</v>
      </c>
      <c r="AE357">
        <v>34.415788880540937</v>
      </c>
      <c r="AF357">
        <v>0</v>
      </c>
      <c r="AG357">
        <v>0</v>
      </c>
      <c r="AH357" t="str">
        <f t="shared" si="11"/>
        <v>False</v>
      </c>
      <c r="AI357">
        <v>0</v>
      </c>
    </row>
    <row r="358" spans="1:35" x14ac:dyDescent="0.35">
      <c r="A358" t="s">
        <v>435</v>
      </c>
      <c r="B358" t="s">
        <v>434</v>
      </c>
      <c r="C358" t="s">
        <v>232</v>
      </c>
      <c r="D358" t="s">
        <v>52</v>
      </c>
      <c r="E358" t="s">
        <v>77</v>
      </c>
      <c r="F358" t="s">
        <v>52</v>
      </c>
      <c r="G358" t="s">
        <v>37</v>
      </c>
      <c r="H358" t="s">
        <v>35</v>
      </c>
      <c r="I358" t="s">
        <v>35</v>
      </c>
      <c r="J358" t="s">
        <v>35</v>
      </c>
      <c r="K358" t="s">
        <v>35</v>
      </c>
      <c r="L358" t="s">
        <v>35</v>
      </c>
      <c r="M358" t="s">
        <v>35</v>
      </c>
      <c r="N358" t="s">
        <v>35</v>
      </c>
      <c r="O358" t="str">
        <f t="shared" si="12"/>
        <v>False</v>
      </c>
      <c r="P358" s="3">
        <v>21960</v>
      </c>
      <c r="Q358" s="3">
        <v>0</v>
      </c>
      <c r="R358" s="3">
        <v>0</v>
      </c>
      <c r="S358" s="3">
        <v>16086.809499999999</v>
      </c>
      <c r="T358" s="3">
        <v>2007.119424999999</v>
      </c>
      <c r="U358">
        <v>0.46277914389799601</v>
      </c>
      <c r="V358" s="3">
        <v>18182.388499999968</v>
      </c>
      <c r="W358">
        <v>10.94105299688384</v>
      </c>
      <c r="X358">
        <v>6.4347238000000004</v>
      </c>
      <c r="Y358">
        <v>0.80284776999999963</v>
      </c>
      <c r="Z358" s="5">
        <v>0.1109277831984188</v>
      </c>
      <c r="AA358">
        <v>2.4172516153268222</v>
      </c>
      <c r="AB358">
        <v>81.452200000000005</v>
      </c>
      <c r="AC358">
        <v>10.162629999999989</v>
      </c>
      <c r="AD358" s="5">
        <v>0.1109277831984188</v>
      </c>
      <c r="AE358">
        <v>30.598121712997749</v>
      </c>
      <c r="AF358">
        <v>3.8176671675431981</v>
      </c>
      <c r="AG358">
        <v>0.3015957062359127</v>
      </c>
      <c r="AH358" t="str">
        <f t="shared" si="11"/>
        <v>True</v>
      </c>
      <c r="AI358">
        <v>1</v>
      </c>
    </row>
    <row r="359" spans="1:35" x14ac:dyDescent="0.35">
      <c r="A359" t="s">
        <v>436</v>
      </c>
      <c r="B359" t="s">
        <v>434</v>
      </c>
      <c r="C359" t="s">
        <v>232</v>
      </c>
      <c r="D359" t="s">
        <v>52</v>
      </c>
      <c r="E359" t="s">
        <v>77</v>
      </c>
      <c r="F359" t="s">
        <v>52</v>
      </c>
      <c r="G359" t="s">
        <v>35</v>
      </c>
      <c r="H359" t="s">
        <v>37</v>
      </c>
      <c r="I359" t="s">
        <v>35</v>
      </c>
      <c r="J359" t="s">
        <v>35</v>
      </c>
      <c r="K359" t="s">
        <v>35</v>
      </c>
      <c r="L359" t="s">
        <v>35</v>
      </c>
      <c r="M359" t="s">
        <v>35</v>
      </c>
      <c r="N359" t="s">
        <v>35</v>
      </c>
      <c r="O359" t="str">
        <f t="shared" si="12"/>
        <v>False</v>
      </c>
      <c r="P359" s="3">
        <v>52704</v>
      </c>
      <c r="Q359" s="3">
        <v>0</v>
      </c>
      <c r="R359" s="3">
        <v>0</v>
      </c>
      <c r="S359" s="3">
        <v>16086.809499999999</v>
      </c>
      <c r="T359" s="3">
        <v>2007.119424999999</v>
      </c>
      <c r="U359">
        <v>0.19282464329083171</v>
      </c>
      <c r="V359" s="3">
        <v>-12561.61150000003</v>
      </c>
      <c r="W359">
        <v>26.25852719252121</v>
      </c>
      <c r="X359">
        <v>6.4347238000000004</v>
      </c>
      <c r="Y359">
        <v>0.80284776999999963</v>
      </c>
      <c r="Z359" s="5">
        <v>0.1109277831984188</v>
      </c>
      <c r="AA359">
        <v>2.4172516153268222</v>
      </c>
      <c r="AB359">
        <v>81.452200000000005</v>
      </c>
      <c r="AC359">
        <v>10.162629999999989</v>
      </c>
      <c r="AD359" s="5">
        <v>0.1109277831984188</v>
      </c>
      <c r="AE359">
        <v>30.598121712997749</v>
      </c>
      <c r="AF359">
        <v>3.8176671675431981</v>
      </c>
      <c r="AG359">
        <v>0.3015957062359127</v>
      </c>
      <c r="AH359" t="str">
        <f t="shared" si="11"/>
        <v>False</v>
      </c>
      <c r="AI359">
        <v>2</v>
      </c>
    </row>
    <row r="360" spans="1:35" x14ac:dyDescent="0.35">
      <c r="A360" t="s">
        <v>437</v>
      </c>
      <c r="B360" t="s">
        <v>434</v>
      </c>
      <c r="C360" t="s">
        <v>232</v>
      </c>
      <c r="D360" t="s">
        <v>52</v>
      </c>
      <c r="E360" t="s">
        <v>77</v>
      </c>
      <c r="F360" t="s">
        <v>52</v>
      </c>
      <c r="G360" t="s">
        <v>35</v>
      </c>
      <c r="H360" t="s">
        <v>35</v>
      </c>
      <c r="I360" t="s">
        <v>35</v>
      </c>
      <c r="J360" t="s">
        <v>35</v>
      </c>
      <c r="K360" t="s">
        <v>35</v>
      </c>
      <c r="L360" t="s">
        <v>37</v>
      </c>
      <c r="M360" t="s">
        <v>35</v>
      </c>
      <c r="N360" t="s">
        <v>35</v>
      </c>
      <c r="O360" t="str">
        <f t="shared" si="12"/>
        <v>False</v>
      </c>
      <c r="P360" s="3">
        <v>54879.06</v>
      </c>
      <c r="Q360" s="3">
        <v>0</v>
      </c>
      <c r="R360" s="3">
        <v>0</v>
      </c>
      <c r="S360" s="3">
        <v>16464.735625000001</v>
      </c>
      <c r="T360" s="3">
        <v>1629.193299999999</v>
      </c>
      <c r="U360">
        <v>0.15031379910661721</v>
      </c>
      <c r="V360" s="3">
        <v>-22295.194000000021</v>
      </c>
      <c r="W360">
        <v>33.684805848391377</v>
      </c>
      <c r="X360">
        <v>6.5858942500000008</v>
      </c>
      <c r="Y360">
        <v>0.65167731999999923</v>
      </c>
      <c r="Z360" s="5">
        <v>9.0040880935979298E-2</v>
      </c>
      <c r="AA360">
        <v>2.4740399135987978</v>
      </c>
      <c r="AB360">
        <v>83.365750000000006</v>
      </c>
      <c r="AC360">
        <v>8.2490799999999922</v>
      </c>
      <c r="AD360" s="5">
        <v>9.0040880935979298E-2</v>
      </c>
      <c r="AE360">
        <v>31.316960931630351</v>
      </c>
      <c r="AF360">
        <v>3.098827948910591</v>
      </c>
      <c r="AG360">
        <v>0.2448074079639366</v>
      </c>
      <c r="AH360" t="str">
        <f t="shared" si="11"/>
        <v>False</v>
      </c>
      <c r="AI360">
        <v>2</v>
      </c>
    </row>
    <row r="361" spans="1:35" x14ac:dyDescent="0.35">
      <c r="A361" t="s">
        <v>438</v>
      </c>
      <c r="B361" t="s">
        <v>434</v>
      </c>
      <c r="C361" t="s">
        <v>232</v>
      </c>
      <c r="D361" t="s">
        <v>52</v>
      </c>
      <c r="E361" t="s">
        <v>77</v>
      </c>
      <c r="F361" t="s">
        <v>52</v>
      </c>
      <c r="G361" t="s">
        <v>35</v>
      </c>
      <c r="H361" t="s">
        <v>35</v>
      </c>
      <c r="I361" t="s">
        <v>37</v>
      </c>
      <c r="J361" t="s">
        <v>35</v>
      </c>
      <c r="K361" t="s">
        <v>35</v>
      </c>
      <c r="L361" t="s">
        <v>35</v>
      </c>
      <c r="M361" t="s">
        <v>35</v>
      </c>
      <c r="N361" t="s">
        <v>35</v>
      </c>
      <c r="O361" t="str">
        <f t="shared" si="12"/>
        <v>False</v>
      </c>
      <c r="P361" s="3">
        <v>80520</v>
      </c>
      <c r="Q361" s="3">
        <v>0</v>
      </c>
      <c r="R361" s="3">
        <v>0</v>
      </c>
      <c r="S361" s="3">
        <v>16384.305724999998</v>
      </c>
      <c r="T361" s="3">
        <v>1709.6231999999991</v>
      </c>
      <c r="U361">
        <v>0.10750521609538</v>
      </c>
      <c r="V361" s="3">
        <v>-46327.536000000022</v>
      </c>
      <c r="W361">
        <v>47.098097405323031</v>
      </c>
      <c r="X361">
        <v>6.5537222900000014</v>
      </c>
      <c r="Y361">
        <v>0.68384927999999956</v>
      </c>
      <c r="Z361" s="5">
        <v>9.4486012799455996E-2</v>
      </c>
      <c r="AA361">
        <v>2.461954278737791</v>
      </c>
      <c r="AB361">
        <v>82.958510000000004</v>
      </c>
      <c r="AC361">
        <v>8.6563199999999938</v>
      </c>
      <c r="AD361" s="5">
        <v>9.4486012799455996E-2</v>
      </c>
      <c r="AE361">
        <v>31.163978211870781</v>
      </c>
      <c r="AF361">
        <v>3.2518106686701711</v>
      </c>
      <c r="AG361">
        <v>0.25689304282494341</v>
      </c>
      <c r="AH361" t="str">
        <f t="shared" si="11"/>
        <v>True</v>
      </c>
      <c r="AI361">
        <v>1</v>
      </c>
    </row>
    <row r="362" spans="1:35" x14ac:dyDescent="0.35">
      <c r="A362" t="s">
        <v>439</v>
      </c>
      <c r="B362" t="s">
        <v>434</v>
      </c>
      <c r="C362" t="s">
        <v>232</v>
      </c>
      <c r="D362" t="s">
        <v>52</v>
      </c>
      <c r="E362" t="s">
        <v>77</v>
      </c>
      <c r="F362" t="s">
        <v>52</v>
      </c>
      <c r="G362" t="s">
        <v>37</v>
      </c>
      <c r="H362" t="s">
        <v>35</v>
      </c>
      <c r="I362" t="s">
        <v>35</v>
      </c>
      <c r="J362" t="s">
        <v>35</v>
      </c>
      <c r="K362" t="s">
        <v>35</v>
      </c>
      <c r="L362" t="s">
        <v>37</v>
      </c>
      <c r="M362" t="s">
        <v>35</v>
      </c>
      <c r="N362" t="s">
        <v>35</v>
      </c>
      <c r="O362" t="str">
        <f t="shared" si="12"/>
        <v>True</v>
      </c>
      <c r="P362" s="3">
        <v>76839.06</v>
      </c>
      <c r="Q362" s="3">
        <v>0</v>
      </c>
      <c r="R362" s="3">
        <v>0</v>
      </c>
      <c r="S362" s="3">
        <v>14507.332875</v>
      </c>
      <c r="T362" s="3">
        <v>3586.596050000001</v>
      </c>
      <c r="U362">
        <v>0.23633787295159531</v>
      </c>
      <c r="V362" s="3">
        <v>-5107.138999999981</v>
      </c>
      <c r="W362">
        <v>21.423951548711479</v>
      </c>
      <c r="X362">
        <v>5.8029331499999994</v>
      </c>
      <c r="Y362">
        <v>1.4346384200000011</v>
      </c>
      <c r="Z362" s="5">
        <v>0.19822096488090421</v>
      </c>
      <c r="AA362">
        <v>2.1799147821187081</v>
      </c>
      <c r="AB362">
        <v>73.454849999999993</v>
      </c>
      <c r="AC362">
        <v>18.159980000000001</v>
      </c>
      <c r="AD362" s="5">
        <v>0.19822096488090421</v>
      </c>
      <c r="AE362">
        <v>27.593858001502621</v>
      </c>
      <c r="AF362">
        <v>6.8219308790383186</v>
      </c>
      <c r="AG362">
        <v>0.53893253944402719</v>
      </c>
      <c r="AH362" t="str">
        <f t="shared" si="11"/>
        <v>True</v>
      </c>
      <c r="AI362">
        <v>2</v>
      </c>
    </row>
    <row r="363" spans="1:35" x14ac:dyDescent="0.35">
      <c r="A363" t="s">
        <v>440</v>
      </c>
      <c r="B363" t="s">
        <v>434</v>
      </c>
      <c r="C363" t="s">
        <v>232</v>
      </c>
      <c r="D363" t="s">
        <v>52</v>
      </c>
      <c r="E363" t="s">
        <v>77</v>
      </c>
      <c r="F363" t="s">
        <v>52</v>
      </c>
      <c r="G363" t="s">
        <v>37</v>
      </c>
      <c r="H363" t="s">
        <v>35</v>
      </c>
      <c r="I363" t="s">
        <v>37</v>
      </c>
      <c r="J363" t="s">
        <v>35</v>
      </c>
      <c r="K363" t="s">
        <v>35</v>
      </c>
      <c r="L363" t="s">
        <v>35</v>
      </c>
      <c r="M363" t="s">
        <v>35</v>
      </c>
      <c r="N363" t="s">
        <v>35</v>
      </c>
      <c r="O363" t="str">
        <f t="shared" si="12"/>
        <v>True</v>
      </c>
      <c r="P363" s="3">
        <v>102480</v>
      </c>
      <c r="Q363" s="3">
        <v>0</v>
      </c>
      <c r="R363" s="3">
        <v>0</v>
      </c>
      <c r="S363" s="3">
        <v>14441.758925</v>
      </c>
      <c r="T363" s="3">
        <v>3652.170000000001</v>
      </c>
      <c r="U363">
        <v>0.18044496487119441</v>
      </c>
      <c r="V363" s="3">
        <v>-29436.59999999998</v>
      </c>
      <c r="W363">
        <v>28.060030064317921</v>
      </c>
      <c r="X363">
        <v>5.7767035699999996</v>
      </c>
      <c r="Y363">
        <v>1.4608680000000001</v>
      </c>
      <c r="Z363" s="5">
        <v>0.2018450506320866</v>
      </c>
      <c r="AA363">
        <v>2.1700614462809922</v>
      </c>
      <c r="AB363">
        <v>73.122829999999993</v>
      </c>
      <c r="AC363">
        <v>18.492000000000001</v>
      </c>
      <c r="AD363" s="5">
        <v>0.2018450506320866</v>
      </c>
      <c r="AE363">
        <v>27.469132231404949</v>
      </c>
      <c r="AF363">
        <v>6.9466566491359893</v>
      </c>
      <c r="AG363">
        <v>0.54878587528174316</v>
      </c>
      <c r="AH363" t="str">
        <f t="shared" si="11"/>
        <v>True</v>
      </c>
      <c r="AI363">
        <v>1</v>
      </c>
    </row>
    <row r="364" spans="1:35" x14ac:dyDescent="0.35">
      <c r="A364" t="s">
        <v>441</v>
      </c>
      <c r="B364" t="s">
        <v>434</v>
      </c>
      <c r="C364" t="s">
        <v>232</v>
      </c>
      <c r="D364" t="s">
        <v>52</v>
      </c>
      <c r="E364" t="s">
        <v>77</v>
      </c>
      <c r="F364" t="s">
        <v>52</v>
      </c>
      <c r="G364" t="s">
        <v>35</v>
      </c>
      <c r="H364" t="s">
        <v>35</v>
      </c>
      <c r="I364" t="s">
        <v>37</v>
      </c>
      <c r="J364" t="s">
        <v>35</v>
      </c>
      <c r="K364" t="s">
        <v>35</v>
      </c>
      <c r="L364" t="s">
        <v>37</v>
      </c>
      <c r="M364" t="s">
        <v>35</v>
      </c>
      <c r="N364" t="s">
        <v>35</v>
      </c>
      <c r="O364" t="str">
        <f t="shared" si="12"/>
        <v>True</v>
      </c>
      <c r="P364" s="3">
        <v>135399.1</v>
      </c>
      <c r="Q364" s="3">
        <v>0</v>
      </c>
      <c r="R364" s="3">
        <v>0</v>
      </c>
      <c r="S364" s="3">
        <v>14804.262274999999</v>
      </c>
      <c r="T364" s="3">
        <v>3289.6666499999992</v>
      </c>
      <c r="U364">
        <v>0.123018099824888</v>
      </c>
      <c r="V364" s="3">
        <v>-69605.767000000036</v>
      </c>
      <c r="W364">
        <v>41.15891195237063</v>
      </c>
      <c r="X364">
        <v>5.9217049100000008</v>
      </c>
      <c r="Y364">
        <v>1.3158666599999991</v>
      </c>
      <c r="Z364" s="5">
        <v>0.18181052128787439</v>
      </c>
      <c r="AA364">
        <v>2.2245322727272732</v>
      </c>
      <c r="AB364">
        <v>74.958290000000005</v>
      </c>
      <c r="AC364">
        <v>16.656539999999989</v>
      </c>
      <c r="AD364" s="5">
        <v>0.18181052128787439</v>
      </c>
      <c r="AE364">
        <v>28.158636363636369</v>
      </c>
      <c r="AF364">
        <v>6.257152516904581</v>
      </c>
      <c r="AG364">
        <v>0.49431504883546218</v>
      </c>
      <c r="AH364" t="str">
        <f t="shared" si="11"/>
        <v>True</v>
      </c>
      <c r="AI364">
        <v>2</v>
      </c>
    </row>
    <row r="365" spans="1:35" x14ac:dyDescent="0.35">
      <c r="A365" t="s">
        <v>442</v>
      </c>
      <c r="B365" t="s">
        <v>434</v>
      </c>
      <c r="C365" t="s">
        <v>232</v>
      </c>
      <c r="D365" t="s">
        <v>52</v>
      </c>
      <c r="E365" t="s">
        <v>77</v>
      </c>
      <c r="F365" t="s">
        <v>52</v>
      </c>
      <c r="G365" t="s">
        <v>35</v>
      </c>
      <c r="H365" t="s">
        <v>37</v>
      </c>
      <c r="I365" t="s">
        <v>35</v>
      </c>
      <c r="J365" t="s">
        <v>35</v>
      </c>
      <c r="K365" t="s">
        <v>35</v>
      </c>
      <c r="L365" t="s">
        <v>37</v>
      </c>
      <c r="M365" t="s">
        <v>35</v>
      </c>
      <c r="N365" t="s">
        <v>35</v>
      </c>
      <c r="O365" t="str">
        <f t="shared" si="12"/>
        <v>True</v>
      </c>
      <c r="P365" s="3">
        <v>107583.1</v>
      </c>
      <c r="Q365" s="3">
        <v>0</v>
      </c>
      <c r="R365" s="3">
        <v>0</v>
      </c>
      <c r="S365" s="3">
        <v>14507.332875</v>
      </c>
      <c r="T365" s="3">
        <v>3586.596050000001</v>
      </c>
      <c r="U365">
        <v>0.16879956052577039</v>
      </c>
      <c r="V365" s="3">
        <v>-35851.178999999989</v>
      </c>
      <c r="W365">
        <v>29.99587868279729</v>
      </c>
      <c r="X365">
        <v>5.8029331499999994</v>
      </c>
      <c r="Y365">
        <v>1.4346384200000011</v>
      </c>
      <c r="Z365" s="5">
        <v>0.19822096488090421</v>
      </c>
      <c r="AA365">
        <v>2.1799147821187081</v>
      </c>
      <c r="AB365">
        <v>73.454849999999993</v>
      </c>
      <c r="AC365">
        <v>18.159980000000001</v>
      </c>
      <c r="AD365" s="5">
        <v>0.19822096488090421</v>
      </c>
      <c r="AE365">
        <v>27.593858001502621</v>
      </c>
      <c r="AF365">
        <v>6.8219308790383186</v>
      </c>
      <c r="AG365">
        <v>0.53893253944402719</v>
      </c>
      <c r="AH365" t="str">
        <f t="shared" si="11"/>
        <v>False</v>
      </c>
      <c r="AI365">
        <v>2</v>
      </c>
    </row>
    <row r="366" spans="1:35" x14ac:dyDescent="0.35">
      <c r="A366" t="s">
        <v>443</v>
      </c>
      <c r="B366" t="s">
        <v>434</v>
      </c>
      <c r="C366" t="s">
        <v>232</v>
      </c>
      <c r="D366" t="s">
        <v>52</v>
      </c>
      <c r="E366" t="s">
        <v>77</v>
      </c>
      <c r="F366" t="s">
        <v>52</v>
      </c>
      <c r="G366" t="s">
        <v>35</v>
      </c>
      <c r="H366" t="s">
        <v>37</v>
      </c>
      <c r="I366" t="s">
        <v>37</v>
      </c>
      <c r="J366" t="s">
        <v>35</v>
      </c>
      <c r="K366" t="s">
        <v>35</v>
      </c>
      <c r="L366" t="s">
        <v>35</v>
      </c>
      <c r="M366" t="s">
        <v>35</v>
      </c>
      <c r="N366" t="s">
        <v>35</v>
      </c>
      <c r="O366" t="str">
        <f t="shared" si="12"/>
        <v>True</v>
      </c>
      <c r="P366" s="3">
        <v>133224</v>
      </c>
      <c r="Q366" s="3">
        <v>0</v>
      </c>
      <c r="R366" s="3">
        <v>0</v>
      </c>
      <c r="S366" s="3">
        <v>14441.751025</v>
      </c>
      <c r="T366" s="3">
        <v>3652.177900000001</v>
      </c>
      <c r="U366">
        <v>0.13880411937788989</v>
      </c>
      <c r="V366" s="3">
        <v>-60180.441999999981</v>
      </c>
      <c r="W366">
        <v>36.477960178226802</v>
      </c>
      <c r="X366">
        <v>5.7767004099999992</v>
      </c>
      <c r="Y366">
        <v>1.4608711600000011</v>
      </c>
      <c r="Z366" s="5">
        <v>0.2018454872426223</v>
      </c>
      <c r="AA366">
        <v>2.170060259203606</v>
      </c>
      <c r="AB366">
        <v>73.122789999999995</v>
      </c>
      <c r="AC366">
        <v>18.492039999999999</v>
      </c>
      <c r="AD366" s="5">
        <v>0.20184548724262219</v>
      </c>
      <c r="AE366">
        <v>27.46911720510894</v>
      </c>
      <c r="AF366">
        <v>6.9466716754320066</v>
      </c>
      <c r="AG366">
        <v>0.54878706235912889</v>
      </c>
      <c r="AH366" t="str">
        <f t="shared" si="11"/>
        <v>True</v>
      </c>
      <c r="AI366">
        <v>2</v>
      </c>
    </row>
    <row r="367" spans="1:35" x14ac:dyDescent="0.35">
      <c r="A367" t="s">
        <v>444</v>
      </c>
      <c r="B367" t="s">
        <v>434</v>
      </c>
      <c r="C367" t="s">
        <v>232</v>
      </c>
      <c r="D367" t="s">
        <v>52</v>
      </c>
      <c r="E367" t="s">
        <v>77</v>
      </c>
      <c r="F367" t="s">
        <v>52</v>
      </c>
      <c r="G367" t="s">
        <v>37</v>
      </c>
      <c r="H367" t="s">
        <v>35</v>
      </c>
      <c r="I367" t="s">
        <v>37</v>
      </c>
      <c r="J367" t="s">
        <v>35</v>
      </c>
      <c r="K367" t="s">
        <v>35</v>
      </c>
      <c r="L367" t="s">
        <v>37</v>
      </c>
      <c r="M367" t="s">
        <v>35</v>
      </c>
      <c r="N367" t="s">
        <v>35</v>
      </c>
      <c r="O367" t="str">
        <f t="shared" si="12"/>
        <v>True</v>
      </c>
      <c r="P367" s="3">
        <v>157359.1</v>
      </c>
      <c r="Q367" s="3">
        <v>0</v>
      </c>
      <c r="R367" s="3">
        <v>0</v>
      </c>
      <c r="S367" s="3">
        <v>12913.545400000001</v>
      </c>
      <c r="T367" s="3">
        <v>5180.3835249999993</v>
      </c>
      <c r="U367">
        <v>0.16668746834469689</v>
      </c>
      <c r="V367" s="3">
        <v>-53751.429500000027</v>
      </c>
      <c r="W367">
        <v>30.375955610352229</v>
      </c>
      <c r="X367">
        <v>5.1654181600000006</v>
      </c>
      <c r="Y367">
        <v>2.072153409999999</v>
      </c>
      <c r="Z367" s="5">
        <v>0.28630506654872351</v>
      </c>
      <c r="AA367">
        <v>1.9404275582268971</v>
      </c>
      <c r="AB367">
        <v>65.385040000000004</v>
      </c>
      <c r="AC367">
        <v>26.229789999999991</v>
      </c>
      <c r="AD367" s="5">
        <v>0.28630506654872362</v>
      </c>
      <c r="AE367">
        <v>24.562374154770851</v>
      </c>
      <c r="AF367">
        <v>9.8534147257700955</v>
      </c>
      <c r="AG367">
        <v>0.7784197633358374</v>
      </c>
      <c r="AH367" t="str">
        <f t="shared" si="11"/>
        <v>True</v>
      </c>
      <c r="AI367">
        <v>2</v>
      </c>
    </row>
    <row r="368" spans="1:35" x14ac:dyDescent="0.35">
      <c r="A368" t="s">
        <v>445</v>
      </c>
      <c r="B368" t="s">
        <v>446</v>
      </c>
      <c r="C368" t="s">
        <v>33</v>
      </c>
      <c r="D368" t="s">
        <v>34</v>
      </c>
      <c r="E368" t="s">
        <v>52</v>
      </c>
      <c r="F368" t="s">
        <v>34</v>
      </c>
      <c r="G368" t="s">
        <v>35</v>
      </c>
      <c r="H368" t="s">
        <v>35</v>
      </c>
      <c r="I368" t="s">
        <v>35</v>
      </c>
      <c r="J368" t="s">
        <v>35</v>
      </c>
      <c r="K368" t="s">
        <v>35</v>
      </c>
      <c r="L368" t="s">
        <v>35</v>
      </c>
      <c r="M368" t="s">
        <v>35</v>
      </c>
      <c r="N368" t="s">
        <v>35</v>
      </c>
      <c r="O368" t="str">
        <f t="shared" si="12"/>
        <v>False</v>
      </c>
      <c r="P368" s="3">
        <v>0</v>
      </c>
      <c r="Q368" s="3">
        <v>0</v>
      </c>
      <c r="R368" s="3">
        <v>0</v>
      </c>
      <c r="S368" s="3">
        <v>14105.291999999999</v>
      </c>
      <c r="T368" s="3">
        <v>0</v>
      </c>
      <c r="U368">
        <v>0</v>
      </c>
      <c r="V368" s="3">
        <v>0</v>
      </c>
      <c r="W368">
        <v>0</v>
      </c>
      <c r="X368">
        <v>5.6421168000000002</v>
      </c>
      <c r="Y368">
        <v>0</v>
      </c>
      <c r="Z368" s="5">
        <v>0</v>
      </c>
      <c r="AA368">
        <v>7.9354666666666667</v>
      </c>
      <c r="AB368">
        <v>71.419200000000004</v>
      </c>
      <c r="AC368">
        <v>0</v>
      </c>
      <c r="AD368" s="5">
        <v>0</v>
      </c>
      <c r="AE368">
        <v>100.4489451476793</v>
      </c>
      <c r="AF368">
        <v>0</v>
      </c>
      <c r="AG368">
        <v>0</v>
      </c>
      <c r="AH368" t="str">
        <f t="shared" si="11"/>
        <v>False</v>
      </c>
      <c r="AI368">
        <v>0</v>
      </c>
    </row>
    <row r="369" spans="1:35" x14ac:dyDescent="0.35">
      <c r="A369" t="s">
        <v>447</v>
      </c>
      <c r="B369" t="s">
        <v>446</v>
      </c>
      <c r="C369" t="s">
        <v>33</v>
      </c>
      <c r="D369" t="s">
        <v>34</v>
      </c>
      <c r="E369" t="s">
        <v>52</v>
      </c>
      <c r="F369" t="s">
        <v>34</v>
      </c>
      <c r="G369" t="s">
        <v>35</v>
      </c>
      <c r="H369" t="s">
        <v>37</v>
      </c>
      <c r="I369" t="s">
        <v>35</v>
      </c>
      <c r="J369" t="s">
        <v>35</v>
      </c>
      <c r="K369" t="s">
        <v>35</v>
      </c>
      <c r="L369" t="s">
        <v>35</v>
      </c>
      <c r="M369" t="s">
        <v>35</v>
      </c>
      <c r="N369" t="s">
        <v>35</v>
      </c>
      <c r="O369" t="str">
        <f t="shared" si="12"/>
        <v>False</v>
      </c>
      <c r="P369" s="3">
        <v>446110.1</v>
      </c>
      <c r="Q369" s="3">
        <v>0</v>
      </c>
      <c r="R369" s="3">
        <v>0</v>
      </c>
      <c r="S369" s="3">
        <v>13838.139675</v>
      </c>
      <c r="T369" s="3">
        <v>267.15232500000059</v>
      </c>
      <c r="U369">
        <v>3.0321438586572999E-3</v>
      </c>
      <c r="V369" s="3">
        <v>-440767.05349999998</v>
      </c>
      <c r="W369">
        <v>1669.871673398309</v>
      </c>
      <c r="X369">
        <v>5.5352558700000003</v>
      </c>
      <c r="Y369">
        <v>0.1068609299999999</v>
      </c>
      <c r="Z369" s="5">
        <v>1.8939864910276199E-2</v>
      </c>
      <c r="AA369">
        <v>7.7851699999999999</v>
      </c>
      <c r="AB369">
        <v>70.06653</v>
      </c>
      <c r="AC369">
        <v>1.3526700000000029</v>
      </c>
      <c r="AD369" s="5">
        <v>1.8939864910276199E-2</v>
      </c>
      <c r="AE369">
        <v>98.546455696202514</v>
      </c>
      <c r="AF369">
        <v>1.902489451476798</v>
      </c>
      <c r="AG369">
        <v>0.15029666666666669</v>
      </c>
      <c r="AH369" t="str">
        <f t="shared" si="11"/>
        <v>False</v>
      </c>
      <c r="AI369">
        <v>2</v>
      </c>
    </row>
    <row r="370" spans="1:35" x14ac:dyDescent="0.35">
      <c r="A370" t="s">
        <v>448</v>
      </c>
      <c r="B370" t="s">
        <v>446</v>
      </c>
      <c r="C370" t="s">
        <v>33</v>
      </c>
      <c r="D370" t="s">
        <v>34</v>
      </c>
      <c r="E370" t="s">
        <v>52</v>
      </c>
      <c r="F370" t="s">
        <v>34</v>
      </c>
      <c r="G370" t="s">
        <v>37</v>
      </c>
      <c r="H370" t="s">
        <v>35</v>
      </c>
      <c r="I370" t="s">
        <v>35</v>
      </c>
      <c r="J370" t="s">
        <v>35</v>
      </c>
      <c r="K370" t="s">
        <v>35</v>
      </c>
      <c r="L370" t="s">
        <v>35</v>
      </c>
      <c r="M370" t="s">
        <v>35</v>
      </c>
      <c r="N370" t="s">
        <v>35</v>
      </c>
      <c r="O370" t="str">
        <f t="shared" si="12"/>
        <v>False</v>
      </c>
      <c r="P370" s="3">
        <v>185879.2</v>
      </c>
      <c r="Q370" s="3">
        <v>0</v>
      </c>
      <c r="R370" s="3">
        <v>0</v>
      </c>
      <c r="S370" s="3">
        <v>13838.584049999999</v>
      </c>
      <c r="T370" s="3">
        <v>266.70794999999993</v>
      </c>
      <c r="U370">
        <v>7.2650409513274998E-3</v>
      </c>
      <c r="V370" s="3">
        <v>-180545.041</v>
      </c>
      <c r="W370">
        <v>696.93910511478964</v>
      </c>
      <c r="X370">
        <v>5.5354336200000001</v>
      </c>
      <c r="Y370">
        <v>0.1066831800000001</v>
      </c>
      <c r="Z370" s="5">
        <v>1.8908360776933902E-2</v>
      </c>
      <c r="AA370">
        <v>7.7854199999999993</v>
      </c>
      <c r="AB370">
        <v>70.068780000000004</v>
      </c>
      <c r="AC370">
        <v>1.35042</v>
      </c>
      <c r="AD370" s="5">
        <v>1.8908360776933902E-2</v>
      </c>
      <c r="AE370">
        <v>98.549620253164562</v>
      </c>
      <c r="AF370">
        <v>1.8993248945147669</v>
      </c>
      <c r="AG370">
        <v>0.1500466666666673</v>
      </c>
      <c r="AH370" t="str">
        <f t="shared" si="11"/>
        <v>True</v>
      </c>
      <c r="AI370">
        <v>1</v>
      </c>
    </row>
    <row r="371" spans="1:35" x14ac:dyDescent="0.35">
      <c r="A371" t="s">
        <v>449</v>
      </c>
      <c r="B371" t="s">
        <v>446</v>
      </c>
      <c r="C371" t="s">
        <v>33</v>
      </c>
      <c r="D371" t="s">
        <v>34</v>
      </c>
      <c r="E371" t="s">
        <v>52</v>
      </c>
      <c r="F371" t="s">
        <v>34</v>
      </c>
      <c r="G371" t="s">
        <v>35</v>
      </c>
      <c r="H371" t="s">
        <v>35</v>
      </c>
      <c r="I371" t="s">
        <v>35</v>
      </c>
      <c r="J371" t="s">
        <v>37</v>
      </c>
      <c r="K371" t="s">
        <v>35</v>
      </c>
      <c r="L371" t="s">
        <v>35</v>
      </c>
      <c r="M371" t="s">
        <v>35</v>
      </c>
      <c r="N371" t="s">
        <v>35</v>
      </c>
      <c r="O371" t="str">
        <f t="shared" si="12"/>
        <v>False</v>
      </c>
      <c r="P371" s="3">
        <v>185112.5</v>
      </c>
      <c r="Q371" s="3">
        <v>0</v>
      </c>
      <c r="R371" s="3">
        <v>0</v>
      </c>
      <c r="S371" s="3">
        <v>12561.343650000001</v>
      </c>
      <c r="T371" s="3">
        <v>1543.948350000001</v>
      </c>
      <c r="U371">
        <v>4.2230859612397802E-2</v>
      </c>
      <c r="V371" s="3">
        <v>-154233.533</v>
      </c>
      <c r="W371">
        <v>119.8955262978842</v>
      </c>
      <c r="X371">
        <v>5.0245374600000003</v>
      </c>
      <c r="Y371">
        <v>0.61757933999999981</v>
      </c>
      <c r="Z371" s="5">
        <v>0.10945880099469051</v>
      </c>
      <c r="AA371">
        <v>7.066860000000001</v>
      </c>
      <c r="AB371">
        <v>63.601739999999999</v>
      </c>
      <c r="AC371">
        <v>7.8174600000000041</v>
      </c>
      <c r="AD371" s="5">
        <v>0.1094588009946906</v>
      </c>
      <c r="AE371">
        <v>89.453924050632907</v>
      </c>
      <c r="AF371">
        <v>10.99502109704642</v>
      </c>
      <c r="AG371">
        <v>0.86860666666666564</v>
      </c>
      <c r="AH371" t="str">
        <f t="shared" si="11"/>
        <v>True</v>
      </c>
      <c r="AI371">
        <v>1</v>
      </c>
    </row>
    <row r="372" spans="1:35" x14ac:dyDescent="0.35">
      <c r="A372" t="s">
        <v>450</v>
      </c>
      <c r="B372" t="s">
        <v>446</v>
      </c>
      <c r="C372" t="s">
        <v>33</v>
      </c>
      <c r="D372" t="s">
        <v>39</v>
      </c>
      <c r="E372" t="s">
        <v>52</v>
      </c>
      <c r="F372" t="s">
        <v>39</v>
      </c>
      <c r="G372" t="s">
        <v>35</v>
      </c>
      <c r="H372" t="s">
        <v>35</v>
      </c>
      <c r="I372" t="s">
        <v>35</v>
      </c>
      <c r="J372" t="s">
        <v>35</v>
      </c>
      <c r="K372" t="s">
        <v>35</v>
      </c>
      <c r="L372" t="s">
        <v>35</v>
      </c>
      <c r="M372" t="s">
        <v>35</v>
      </c>
      <c r="N372" t="s">
        <v>37</v>
      </c>
      <c r="O372" t="str">
        <f t="shared" si="12"/>
        <v>False</v>
      </c>
      <c r="P372" s="3">
        <v>71000</v>
      </c>
      <c r="Q372" s="3">
        <v>0</v>
      </c>
      <c r="R372" s="3">
        <v>0</v>
      </c>
      <c r="S372" s="3">
        <v>7553.2196249999997</v>
      </c>
      <c r="T372" s="3">
        <v>6552.0723750000016</v>
      </c>
      <c r="U372">
        <v>0.46725422535211281</v>
      </c>
      <c r="V372" s="3">
        <v>60041.447500000038</v>
      </c>
      <c r="W372">
        <v>10.836266136330639</v>
      </c>
      <c r="X372">
        <v>3.0212878500000002</v>
      </c>
      <c r="Y372">
        <v>2.6208289499999999</v>
      </c>
      <c r="Z372" s="5">
        <v>0.46451164392768329</v>
      </c>
      <c r="AA372">
        <v>4.2493499999999997</v>
      </c>
      <c r="AB372">
        <v>38.244149999999998</v>
      </c>
      <c r="AC372">
        <v>33.175050000000013</v>
      </c>
      <c r="AD372" s="5">
        <v>0.46451164392768329</v>
      </c>
      <c r="AE372">
        <v>53.789240506329108</v>
      </c>
      <c r="AF372">
        <v>46.659704641350217</v>
      </c>
      <c r="AG372">
        <v>3.6861166666666669</v>
      </c>
      <c r="AH372" t="str">
        <f t="shared" si="11"/>
        <v>False</v>
      </c>
      <c r="AI372">
        <v>0</v>
      </c>
    </row>
    <row r="373" spans="1:35" x14ac:dyDescent="0.35">
      <c r="A373" t="s">
        <v>451</v>
      </c>
      <c r="B373" t="s">
        <v>446</v>
      </c>
      <c r="C373" t="s">
        <v>33</v>
      </c>
      <c r="D373" t="s">
        <v>34</v>
      </c>
      <c r="E373" t="s">
        <v>52</v>
      </c>
      <c r="F373" t="s">
        <v>34</v>
      </c>
      <c r="G373" t="s">
        <v>35</v>
      </c>
      <c r="H373" t="s">
        <v>35</v>
      </c>
      <c r="I373" t="s">
        <v>35</v>
      </c>
      <c r="J373" t="s">
        <v>35</v>
      </c>
      <c r="K373" t="s">
        <v>35</v>
      </c>
      <c r="L373" t="s">
        <v>35</v>
      </c>
      <c r="M373" t="s">
        <v>37</v>
      </c>
      <c r="N373" t="s">
        <v>35</v>
      </c>
      <c r="O373" t="str">
        <f t="shared" si="12"/>
        <v>False</v>
      </c>
      <c r="P373" s="3">
        <v>92054.720000000001</v>
      </c>
      <c r="Q373" s="3">
        <v>0</v>
      </c>
      <c r="R373" s="3">
        <v>0</v>
      </c>
      <c r="S373" s="3">
        <v>12323.66425</v>
      </c>
      <c r="T373" s="3">
        <v>1781.627750000001</v>
      </c>
      <c r="U373">
        <v>9.7994975162598905E-2</v>
      </c>
      <c r="V373" s="3">
        <v>-56422.164999999979</v>
      </c>
      <c r="W373">
        <v>51.668885377430797</v>
      </c>
      <c r="X373">
        <v>4.9294656999999997</v>
      </c>
      <c r="Y373">
        <v>0.71265110000000043</v>
      </c>
      <c r="Z373" s="5">
        <v>0.12630917176333539</v>
      </c>
      <c r="AA373">
        <v>6.9331444444444443</v>
      </c>
      <c r="AB373">
        <v>62.398299999999999</v>
      </c>
      <c r="AC373">
        <v>9.0209000000000046</v>
      </c>
      <c r="AD373" s="5">
        <v>0.12630917176333539</v>
      </c>
      <c r="AE373">
        <v>87.761322081575244</v>
      </c>
      <c r="AF373">
        <v>12.68762306610409</v>
      </c>
      <c r="AG373">
        <v>1.0023222222222219</v>
      </c>
      <c r="AH373" t="str">
        <f t="shared" si="11"/>
        <v>False</v>
      </c>
      <c r="AI373">
        <v>0</v>
      </c>
    </row>
    <row r="374" spans="1:35" x14ac:dyDescent="0.35">
      <c r="A374" t="s">
        <v>452</v>
      </c>
      <c r="B374" t="s">
        <v>446</v>
      </c>
      <c r="C374" t="s">
        <v>33</v>
      </c>
      <c r="D374" t="s">
        <v>39</v>
      </c>
      <c r="E374" t="s">
        <v>52</v>
      </c>
      <c r="F374" t="s">
        <v>39</v>
      </c>
      <c r="G374" t="s">
        <v>37</v>
      </c>
      <c r="H374" t="s">
        <v>35</v>
      </c>
      <c r="I374" t="s">
        <v>35</v>
      </c>
      <c r="J374" t="s">
        <v>35</v>
      </c>
      <c r="K374" t="s">
        <v>35</v>
      </c>
      <c r="L374" t="s">
        <v>35</v>
      </c>
      <c r="M374" t="s">
        <v>35</v>
      </c>
      <c r="N374" t="s">
        <v>37</v>
      </c>
      <c r="O374" t="str">
        <f t="shared" si="12"/>
        <v>True</v>
      </c>
      <c r="P374" s="3">
        <v>251713.63099999999</v>
      </c>
      <c r="Q374" s="3">
        <v>0</v>
      </c>
      <c r="R374" s="3">
        <v>0</v>
      </c>
      <c r="S374" s="3">
        <v>7481.4580000000014</v>
      </c>
      <c r="T374" s="3">
        <v>6623.8340000000007</v>
      </c>
      <c r="U374">
        <v>0.13324030115794569</v>
      </c>
      <c r="V374" s="3">
        <v>-119236.951</v>
      </c>
      <c r="W374">
        <v>38.001198550567537</v>
      </c>
      <c r="X374">
        <v>2.9925831999999999</v>
      </c>
      <c r="Y374">
        <v>2.6495335999999998</v>
      </c>
      <c r="Z374" s="5">
        <v>0.46959921141653788</v>
      </c>
      <c r="AA374">
        <v>4.2089777777777782</v>
      </c>
      <c r="AB374">
        <v>37.880800000000001</v>
      </c>
      <c r="AC374">
        <v>33.538400000000003</v>
      </c>
      <c r="AD374" s="5">
        <v>0.46959921141653788</v>
      </c>
      <c r="AE374">
        <v>53.278199718706063</v>
      </c>
      <c r="AF374">
        <v>47.170745428973277</v>
      </c>
      <c r="AG374">
        <v>3.726488888888889</v>
      </c>
      <c r="AH374" t="str">
        <f t="shared" si="11"/>
        <v>True</v>
      </c>
      <c r="AI374">
        <v>1</v>
      </c>
    </row>
    <row r="375" spans="1:35" x14ac:dyDescent="0.35">
      <c r="A375" t="s">
        <v>453</v>
      </c>
      <c r="B375" t="s">
        <v>446</v>
      </c>
      <c r="C375" t="s">
        <v>33</v>
      </c>
      <c r="D375" t="s">
        <v>34</v>
      </c>
      <c r="E375" t="s">
        <v>52</v>
      </c>
      <c r="F375" t="s">
        <v>34</v>
      </c>
      <c r="G375" t="s">
        <v>37</v>
      </c>
      <c r="H375" t="s">
        <v>35</v>
      </c>
      <c r="I375" t="s">
        <v>35</v>
      </c>
      <c r="J375" t="s">
        <v>37</v>
      </c>
      <c r="K375" t="s">
        <v>35</v>
      </c>
      <c r="L375" t="s">
        <v>35</v>
      </c>
      <c r="M375" t="s">
        <v>35</v>
      </c>
      <c r="N375" t="s">
        <v>35</v>
      </c>
      <c r="O375" t="str">
        <f t="shared" si="12"/>
        <v>True</v>
      </c>
      <c r="P375" s="3">
        <v>370991.8</v>
      </c>
      <c r="Q375" s="3">
        <v>0</v>
      </c>
      <c r="R375" s="3">
        <v>0</v>
      </c>
      <c r="S375" s="3">
        <v>12305.38365</v>
      </c>
      <c r="T375" s="3">
        <v>1799.9083500000011</v>
      </c>
      <c r="U375">
        <v>2.45651251591005E-2</v>
      </c>
      <c r="V375" s="3">
        <v>-334993.63299999997</v>
      </c>
      <c r="W375">
        <v>206.11705034870241</v>
      </c>
      <c r="X375">
        <v>4.9221534599999996</v>
      </c>
      <c r="Y375">
        <v>0.71996334000000051</v>
      </c>
      <c r="Z375" s="5">
        <v>0.1276051817998522</v>
      </c>
      <c r="AA375">
        <v>6.9228599999999991</v>
      </c>
      <c r="AB375">
        <v>62.30574</v>
      </c>
      <c r="AC375">
        <v>9.1134600000000034</v>
      </c>
      <c r="AD375" s="5">
        <v>0.1276051817998522</v>
      </c>
      <c r="AE375">
        <v>87.631139240506329</v>
      </c>
      <c r="AF375">
        <v>12.817805907173</v>
      </c>
      <c r="AG375">
        <v>1.012606666666668</v>
      </c>
      <c r="AH375" t="str">
        <f t="shared" si="11"/>
        <v>True</v>
      </c>
      <c r="AI375">
        <v>1</v>
      </c>
    </row>
    <row r="376" spans="1:35" x14ac:dyDescent="0.35">
      <c r="A376" t="s">
        <v>454</v>
      </c>
      <c r="B376" t="s">
        <v>446</v>
      </c>
      <c r="C376" t="s">
        <v>33</v>
      </c>
      <c r="D376" t="s">
        <v>39</v>
      </c>
      <c r="E376" t="s">
        <v>52</v>
      </c>
      <c r="F376" t="s">
        <v>39</v>
      </c>
      <c r="G376" t="s">
        <v>35</v>
      </c>
      <c r="H376" t="s">
        <v>35</v>
      </c>
      <c r="I376" t="s">
        <v>35</v>
      </c>
      <c r="J376" t="s">
        <v>37</v>
      </c>
      <c r="K376" t="s">
        <v>35</v>
      </c>
      <c r="L376" t="s">
        <v>35</v>
      </c>
      <c r="M376" t="s">
        <v>35</v>
      </c>
      <c r="N376" t="s">
        <v>37</v>
      </c>
      <c r="O376" t="str">
        <f t="shared" si="12"/>
        <v>True</v>
      </c>
      <c r="P376" s="3">
        <v>250692.23499999999</v>
      </c>
      <c r="Q376" s="3">
        <v>0</v>
      </c>
      <c r="R376" s="3">
        <v>0</v>
      </c>
      <c r="S376" s="3">
        <v>7154.8423749999993</v>
      </c>
      <c r="T376" s="3">
        <v>6950.4496250000011</v>
      </c>
      <c r="U376">
        <v>0.1403798964894146</v>
      </c>
      <c r="V376" s="3">
        <v>-111683.24249999999</v>
      </c>
      <c r="W376">
        <v>36.068491756027932</v>
      </c>
      <c r="X376">
        <v>2.86193695</v>
      </c>
      <c r="Y376">
        <v>2.7801798500000001</v>
      </c>
      <c r="Z376" s="5">
        <v>0.49275474942312431</v>
      </c>
      <c r="AA376">
        <v>4.0252277777777783</v>
      </c>
      <c r="AB376">
        <v>36.227049999999998</v>
      </c>
      <c r="AC376">
        <v>35.192150000000012</v>
      </c>
      <c r="AD376" s="5">
        <v>0.49275474942312442</v>
      </c>
      <c r="AE376">
        <v>50.952250351617437</v>
      </c>
      <c r="AF376">
        <v>49.496694796061902</v>
      </c>
      <c r="AG376">
        <v>3.9102388888888879</v>
      </c>
      <c r="AH376" t="str">
        <f t="shared" si="11"/>
        <v>True</v>
      </c>
      <c r="AI376">
        <v>1</v>
      </c>
    </row>
    <row r="377" spans="1:35" x14ac:dyDescent="0.35">
      <c r="A377" t="s">
        <v>455</v>
      </c>
      <c r="B377" t="s">
        <v>446</v>
      </c>
      <c r="C377" t="s">
        <v>33</v>
      </c>
      <c r="D377" t="s">
        <v>39</v>
      </c>
      <c r="E377" t="s">
        <v>52</v>
      </c>
      <c r="F377" t="s">
        <v>39</v>
      </c>
      <c r="G377" t="s">
        <v>37</v>
      </c>
      <c r="H377" t="s">
        <v>35</v>
      </c>
      <c r="I377" t="s">
        <v>35</v>
      </c>
      <c r="J377" t="s">
        <v>37</v>
      </c>
      <c r="K377" t="s">
        <v>35</v>
      </c>
      <c r="L377" t="s">
        <v>35</v>
      </c>
      <c r="M377" t="s">
        <v>35</v>
      </c>
      <c r="N377" t="s">
        <v>37</v>
      </c>
      <c r="O377" t="str">
        <f t="shared" si="12"/>
        <v>True</v>
      </c>
      <c r="P377" s="3">
        <v>436518.33600000001</v>
      </c>
      <c r="Q377" s="3">
        <v>0</v>
      </c>
      <c r="R377" s="3">
        <v>0</v>
      </c>
      <c r="S377" s="3">
        <v>7086.7305499999993</v>
      </c>
      <c r="T377" s="3">
        <v>7018.5614500000011</v>
      </c>
      <c r="U377">
        <v>8.1410142642896893E-2</v>
      </c>
      <c r="V377" s="3">
        <v>-296147.10700000002</v>
      </c>
      <c r="W377">
        <v>62.194844215547903</v>
      </c>
      <c r="X377">
        <v>2.83469222</v>
      </c>
      <c r="Y377">
        <v>2.8074245800000002</v>
      </c>
      <c r="Z377" s="5">
        <v>0.49758356296346079</v>
      </c>
      <c r="AA377">
        <v>3.9869088888888888</v>
      </c>
      <c r="AB377">
        <v>35.882179999999998</v>
      </c>
      <c r="AC377">
        <v>35.537020000000012</v>
      </c>
      <c r="AD377" s="5">
        <v>0.49758356296346079</v>
      </c>
      <c r="AE377">
        <v>50.467201125175812</v>
      </c>
      <c r="AF377">
        <v>49.98174402250352</v>
      </c>
      <c r="AG377">
        <v>3.9485577777777778</v>
      </c>
      <c r="AH377" t="str">
        <f t="shared" si="11"/>
        <v>True</v>
      </c>
      <c r="AI377">
        <v>1</v>
      </c>
    </row>
    <row r="378" spans="1:35" x14ac:dyDescent="0.35">
      <c r="A378" t="s">
        <v>456</v>
      </c>
      <c r="B378" t="s">
        <v>446</v>
      </c>
      <c r="C378" t="s">
        <v>33</v>
      </c>
      <c r="D378" t="s">
        <v>39</v>
      </c>
      <c r="E378" t="s">
        <v>52</v>
      </c>
      <c r="F378" t="s">
        <v>39</v>
      </c>
      <c r="G378" t="s">
        <v>37</v>
      </c>
      <c r="H378" t="s">
        <v>35</v>
      </c>
      <c r="I378" t="s">
        <v>35</v>
      </c>
      <c r="J378" t="s">
        <v>37</v>
      </c>
      <c r="K378" t="s">
        <v>35</v>
      </c>
      <c r="L378" t="s">
        <v>35</v>
      </c>
      <c r="M378" t="s">
        <v>37</v>
      </c>
      <c r="N378" t="s">
        <v>37</v>
      </c>
      <c r="O378" t="str">
        <f t="shared" si="12"/>
        <v>True</v>
      </c>
      <c r="P378" s="3">
        <v>528551.45199999993</v>
      </c>
      <c r="Q378" s="3">
        <v>0</v>
      </c>
      <c r="R378" s="3">
        <v>0</v>
      </c>
      <c r="S378" s="3">
        <v>7059.0213000000003</v>
      </c>
      <c r="T378" s="3">
        <v>7046.2707</v>
      </c>
      <c r="U378">
        <v>6.7500183501529698E-2</v>
      </c>
      <c r="V378" s="3">
        <v>-387626.03799999988</v>
      </c>
      <c r="W378">
        <v>75.011516659443686</v>
      </c>
      <c r="X378">
        <v>2.8236085200000001</v>
      </c>
      <c r="Y378">
        <v>2.8185082800000001</v>
      </c>
      <c r="Z378" s="5">
        <v>0.4995480207003159</v>
      </c>
      <c r="AA378">
        <v>3.97132</v>
      </c>
      <c r="AB378">
        <v>35.741880000000002</v>
      </c>
      <c r="AC378">
        <v>35.677320000000002</v>
      </c>
      <c r="AD378" s="5">
        <v>0.4995480207003159</v>
      </c>
      <c r="AE378">
        <v>50.269873417721527</v>
      </c>
      <c r="AF378">
        <v>50.179071729957798</v>
      </c>
      <c r="AG378">
        <v>3.9641466666666658</v>
      </c>
      <c r="AH378" t="str">
        <f t="shared" si="11"/>
        <v>True</v>
      </c>
      <c r="AI378">
        <v>1</v>
      </c>
    </row>
    <row r="379" spans="1:35" x14ac:dyDescent="0.35">
      <c r="A379" t="s">
        <v>457</v>
      </c>
      <c r="B379" t="s">
        <v>458</v>
      </c>
      <c r="C379" t="s">
        <v>63</v>
      </c>
      <c r="D379" t="s">
        <v>39</v>
      </c>
      <c r="E379" t="s">
        <v>39</v>
      </c>
      <c r="F379" t="s">
        <v>39</v>
      </c>
      <c r="G379" t="s">
        <v>35</v>
      </c>
      <c r="H379" t="s">
        <v>35</v>
      </c>
      <c r="I379" t="s">
        <v>35</v>
      </c>
      <c r="J379" t="s">
        <v>35</v>
      </c>
      <c r="K379" t="s">
        <v>35</v>
      </c>
      <c r="L379" t="s">
        <v>35</v>
      </c>
      <c r="M379" t="s">
        <v>35</v>
      </c>
      <c r="N379" t="s">
        <v>35</v>
      </c>
      <c r="O379" t="str">
        <f t="shared" si="12"/>
        <v>False</v>
      </c>
      <c r="P379" s="3">
        <v>0</v>
      </c>
      <c r="Q379" s="3">
        <v>38348.840784370143</v>
      </c>
      <c r="R379" s="3">
        <v>0</v>
      </c>
      <c r="S379" s="3">
        <v>40120.785404444803</v>
      </c>
      <c r="T379" s="3">
        <v>0</v>
      </c>
      <c r="U379">
        <v>0</v>
      </c>
      <c r="V379" s="3">
        <v>0</v>
      </c>
      <c r="W379">
        <v>0</v>
      </c>
      <c r="X379">
        <v>116.4889148085071</v>
      </c>
      <c r="Y379">
        <v>-2.8421709430404007E-14</v>
      </c>
      <c r="Z379" s="5">
        <v>-2.4398638683453839E-16</v>
      </c>
      <c r="AA379">
        <v>25.714992231458531</v>
      </c>
      <c r="AB379">
        <v>645.61282361095164</v>
      </c>
      <c r="AC379">
        <v>0</v>
      </c>
      <c r="AD379" s="5">
        <v>0</v>
      </c>
      <c r="AE379">
        <v>142.51938711058531</v>
      </c>
      <c r="AF379">
        <v>0</v>
      </c>
      <c r="AG379">
        <v>3.5527136788005009E-15</v>
      </c>
      <c r="AH379" t="str">
        <f t="shared" si="11"/>
        <v>False</v>
      </c>
      <c r="AI379">
        <v>0</v>
      </c>
    </row>
    <row r="380" spans="1:35" x14ac:dyDescent="0.35">
      <c r="A380" t="s">
        <v>459</v>
      </c>
      <c r="B380" t="s">
        <v>460</v>
      </c>
      <c r="C380" t="s">
        <v>63</v>
      </c>
      <c r="D380" t="s">
        <v>39</v>
      </c>
      <c r="E380" t="s">
        <v>39</v>
      </c>
      <c r="F380" t="s">
        <v>39</v>
      </c>
      <c r="G380" t="s">
        <v>35</v>
      </c>
      <c r="H380" t="s">
        <v>35</v>
      </c>
      <c r="I380" t="s">
        <v>35</v>
      </c>
      <c r="J380" t="s">
        <v>35</v>
      </c>
      <c r="K380" t="s">
        <v>35</v>
      </c>
      <c r="L380" t="s">
        <v>35</v>
      </c>
      <c r="M380" t="s">
        <v>35</v>
      </c>
      <c r="N380" t="s">
        <v>35</v>
      </c>
      <c r="O380" t="str">
        <f t="shared" si="12"/>
        <v>False</v>
      </c>
      <c r="P380" s="3">
        <v>0</v>
      </c>
      <c r="Q380" s="3">
        <v>22188.454672085991</v>
      </c>
      <c r="R380" s="3">
        <v>0</v>
      </c>
      <c r="S380" s="3">
        <v>28289.783625205939</v>
      </c>
      <c r="T380" s="3">
        <v>0</v>
      </c>
      <c r="U380">
        <v>0</v>
      </c>
      <c r="V380" s="3">
        <v>0</v>
      </c>
      <c r="W380">
        <v>0</v>
      </c>
      <c r="X380">
        <v>69.430361477814245</v>
      </c>
      <c r="Y380">
        <v>0</v>
      </c>
      <c r="Z380" s="5">
        <v>0</v>
      </c>
      <c r="AA380">
        <v>15.63042806794558</v>
      </c>
      <c r="AB380">
        <v>399.2501950236724</v>
      </c>
      <c r="AC380">
        <v>0</v>
      </c>
      <c r="AD380" s="5">
        <v>0</v>
      </c>
      <c r="AE380">
        <v>89.880728280880774</v>
      </c>
      <c r="AF380">
        <v>0</v>
      </c>
      <c r="AG380">
        <v>3.5527136788005009E-15</v>
      </c>
      <c r="AH380" t="str">
        <f t="shared" si="11"/>
        <v>False</v>
      </c>
      <c r="AI380">
        <v>0</v>
      </c>
    </row>
    <row r="381" spans="1:35" x14ac:dyDescent="0.35">
      <c r="A381" t="s">
        <v>461</v>
      </c>
      <c r="B381" t="s">
        <v>462</v>
      </c>
      <c r="C381" t="s">
        <v>63</v>
      </c>
      <c r="D381" t="s">
        <v>52</v>
      </c>
      <c r="E381" t="s">
        <v>77</v>
      </c>
      <c r="F381" t="s">
        <v>52</v>
      </c>
      <c r="G381" t="s">
        <v>35</v>
      </c>
      <c r="H381" t="s">
        <v>35</v>
      </c>
      <c r="I381" t="s">
        <v>35</v>
      </c>
      <c r="J381" t="s">
        <v>35</v>
      </c>
      <c r="K381" t="s">
        <v>35</v>
      </c>
      <c r="L381" t="s">
        <v>35</v>
      </c>
      <c r="M381" t="s">
        <v>35</v>
      </c>
      <c r="N381" t="s">
        <v>35</v>
      </c>
      <c r="O381" t="str">
        <f t="shared" si="12"/>
        <v>False</v>
      </c>
      <c r="P381" s="3">
        <v>0</v>
      </c>
      <c r="Q381" s="3">
        <v>0</v>
      </c>
      <c r="R381" s="3">
        <v>0</v>
      </c>
      <c r="S381" s="3">
        <v>55195.258619649379</v>
      </c>
      <c r="T381" s="3">
        <v>0</v>
      </c>
      <c r="U381">
        <v>0</v>
      </c>
      <c r="V381" s="3">
        <v>0</v>
      </c>
      <c r="W381">
        <v>0</v>
      </c>
      <c r="X381">
        <v>22.07810344785975</v>
      </c>
      <c r="Y381">
        <v>-3.5527136788005009E-15</v>
      </c>
      <c r="Z381" s="5">
        <v>-1.609157094127531E-16</v>
      </c>
      <c r="AA381">
        <v>3.6008258224646501</v>
      </c>
      <c r="AB381">
        <v>279.46966389695888</v>
      </c>
      <c r="AC381">
        <v>0</v>
      </c>
      <c r="AD381" s="5">
        <v>0</v>
      </c>
      <c r="AE381">
        <v>45.580073702084171</v>
      </c>
      <c r="AF381">
        <v>0</v>
      </c>
      <c r="AG381">
        <v>0</v>
      </c>
      <c r="AH381" t="str">
        <f t="shared" si="11"/>
        <v>False</v>
      </c>
      <c r="AI381">
        <v>0</v>
      </c>
    </row>
    <row r="382" spans="1:35" x14ac:dyDescent="0.35">
      <c r="A382" t="s">
        <v>463</v>
      </c>
      <c r="B382" t="s">
        <v>464</v>
      </c>
      <c r="C382" t="s">
        <v>465</v>
      </c>
      <c r="D382" t="s">
        <v>34</v>
      </c>
      <c r="E382" t="s">
        <v>34</v>
      </c>
      <c r="F382" t="s">
        <v>34</v>
      </c>
      <c r="G382" t="s">
        <v>35</v>
      </c>
      <c r="H382" t="s">
        <v>35</v>
      </c>
      <c r="I382" t="s">
        <v>35</v>
      </c>
      <c r="J382" t="s">
        <v>35</v>
      </c>
      <c r="K382" t="s">
        <v>35</v>
      </c>
      <c r="L382" t="s">
        <v>35</v>
      </c>
      <c r="M382" t="s">
        <v>35</v>
      </c>
      <c r="N382" t="s">
        <v>35</v>
      </c>
      <c r="O382" t="str">
        <f t="shared" si="12"/>
        <v>False</v>
      </c>
      <c r="P382" s="3">
        <v>0</v>
      </c>
      <c r="Q382" s="3">
        <v>81491.467499999999</v>
      </c>
      <c r="R382" s="3">
        <v>0</v>
      </c>
      <c r="S382" s="3">
        <v>41051.629039167958</v>
      </c>
      <c r="T382" s="3">
        <v>0</v>
      </c>
      <c r="U382">
        <v>0</v>
      </c>
      <c r="V382" s="3">
        <v>0</v>
      </c>
      <c r="W382">
        <v>0</v>
      </c>
      <c r="X382">
        <v>229.85740161566719</v>
      </c>
      <c r="Y382">
        <v>-2.8421709430404007E-14</v>
      </c>
      <c r="Z382" s="5">
        <v>-1.23649311401886E-16</v>
      </c>
      <c r="AA382">
        <v>44.348331394109053</v>
      </c>
      <c r="AB382">
        <v>1148.106349565408</v>
      </c>
      <c r="AC382">
        <v>4.5474735088646412E-13</v>
      </c>
      <c r="AD382" s="5">
        <v>3.9608469290201152E-16</v>
      </c>
      <c r="AE382">
        <v>221.5138625439721</v>
      </c>
      <c r="AF382">
        <v>8.7738250219267624E-14</v>
      </c>
      <c r="AG382">
        <v>0</v>
      </c>
      <c r="AH382" t="str">
        <f t="shared" si="11"/>
        <v>False</v>
      </c>
      <c r="AI382">
        <v>0</v>
      </c>
    </row>
    <row r="383" spans="1:35" x14ac:dyDescent="0.35">
      <c r="A383" t="s">
        <v>466</v>
      </c>
      <c r="B383" t="s">
        <v>464</v>
      </c>
      <c r="C383" t="s">
        <v>465</v>
      </c>
      <c r="D383" t="s">
        <v>39</v>
      </c>
      <c r="E383" t="s">
        <v>39</v>
      </c>
      <c r="F383" t="s">
        <v>39</v>
      </c>
      <c r="G383" t="s">
        <v>35</v>
      </c>
      <c r="H383" t="s">
        <v>37</v>
      </c>
      <c r="I383" t="s">
        <v>35</v>
      </c>
      <c r="J383" t="s">
        <v>35</v>
      </c>
      <c r="K383" t="s">
        <v>35</v>
      </c>
      <c r="L383" t="s">
        <v>35</v>
      </c>
      <c r="M383" t="s">
        <v>37</v>
      </c>
      <c r="N383" t="s">
        <v>35</v>
      </c>
      <c r="O383" t="str">
        <f t="shared" si="12"/>
        <v>True</v>
      </c>
      <c r="P383" s="3">
        <v>1071751.17</v>
      </c>
      <c r="Q383" s="3">
        <v>44914.127399999998</v>
      </c>
      <c r="R383" s="3">
        <v>36577.340100000001</v>
      </c>
      <c r="S383" s="3">
        <v>39092.42706139548</v>
      </c>
      <c r="T383" s="3">
        <v>1959.201977772485</v>
      </c>
      <c r="U383">
        <v>0.40303199297094161</v>
      </c>
      <c r="V383" s="3">
        <v>-301020.32844455022</v>
      </c>
      <c r="W383">
        <v>27.8112957783562</v>
      </c>
      <c r="X383">
        <v>133.27291082455821</v>
      </c>
      <c r="Y383">
        <v>96.584490791108976</v>
      </c>
      <c r="Z383" s="5">
        <v>0.42019308541824968</v>
      </c>
      <c r="AA383">
        <v>25.71346919246734</v>
      </c>
      <c r="AB383">
        <v>716.15633955136957</v>
      </c>
      <c r="AC383">
        <v>431.95001001403841</v>
      </c>
      <c r="AD383" s="5">
        <v>0.37622822152106739</v>
      </c>
      <c r="AE383">
        <v>138.17409599679141</v>
      </c>
      <c r="AF383">
        <v>83.339766547180858</v>
      </c>
      <c r="AG383">
        <v>18.63486220164172</v>
      </c>
      <c r="AH383" t="str">
        <f t="shared" si="11"/>
        <v>False</v>
      </c>
      <c r="AI383">
        <v>7</v>
      </c>
    </row>
    <row r="384" spans="1:35" x14ac:dyDescent="0.35">
      <c r="A384" t="s">
        <v>467</v>
      </c>
      <c r="B384" t="s">
        <v>464</v>
      </c>
      <c r="C384" t="s">
        <v>465</v>
      </c>
      <c r="D384" t="s">
        <v>39</v>
      </c>
      <c r="E384" t="s">
        <v>39</v>
      </c>
      <c r="F384" t="s">
        <v>39</v>
      </c>
      <c r="G384" t="s">
        <v>35</v>
      </c>
      <c r="H384" t="s">
        <v>35</v>
      </c>
      <c r="I384" t="s">
        <v>35</v>
      </c>
      <c r="J384" t="s">
        <v>35</v>
      </c>
      <c r="K384" t="s">
        <v>35</v>
      </c>
      <c r="L384" t="s">
        <v>37</v>
      </c>
      <c r="M384" t="s">
        <v>37</v>
      </c>
      <c r="N384" t="s">
        <v>35</v>
      </c>
      <c r="O384" t="str">
        <f t="shared" si="12"/>
        <v>True</v>
      </c>
      <c r="P384" s="3">
        <v>1284950.02</v>
      </c>
      <c r="Q384" s="3">
        <v>43038.588600000003</v>
      </c>
      <c r="R384" s="3">
        <v>38452.878900000003</v>
      </c>
      <c r="S384" s="3">
        <v>43280.90462534676</v>
      </c>
      <c r="T384" s="3">
        <v>-2229.2755861787982</v>
      </c>
      <c r="U384">
        <v>0.33649754616726357</v>
      </c>
      <c r="V384" s="3">
        <v>-560477.95372357592</v>
      </c>
      <c r="W384">
        <v>35.472727792094723</v>
      </c>
      <c r="X384">
        <v>130.0360218501387</v>
      </c>
      <c r="Y384">
        <v>99.821379765528476</v>
      </c>
      <c r="Z384" s="5">
        <v>0.43427524658281269</v>
      </c>
      <c r="AA384">
        <v>25.088948842396039</v>
      </c>
      <c r="AB384">
        <v>715.72382088783172</v>
      </c>
      <c r="AC384">
        <v>432.38252867757632</v>
      </c>
      <c r="AD384" s="5">
        <v>0.37660494503949549</v>
      </c>
      <c r="AE384">
        <v>138.09064651511321</v>
      </c>
      <c r="AF384">
        <v>83.423216028859017</v>
      </c>
      <c r="AG384">
        <v>19.25938255171301</v>
      </c>
      <c r="AH384" t="str">
        <f t="shared" si="11"/>
        <v>False</v>
      </c>
      <c r="AI384">
        <v>9</v>
      </c>
    </row>
    <row r="385" spans="1:35" x14ac:dyDescent="0.35">
      <c r="A385" t="s">
        <v>468</v>
      </c>
      <c r="B385" t="s">
        <v>464</v>
      </c>
      <c r="C385" t="s">
        <v>465</v>
      </c>
      <c r="D385" t="s">
        <v>34</v>
      </c>
      <c r="E385" t="s">
        <v>34</v>
      </c>
      <c r="F385" t="s">
        <v>34</v>
      </c>
      <c r="G385" t="s">
        <v>35</v>
      </c>
      <c r="H385" t="s">
        <v>35</v>
      </c>
      <c r="I385" t="s">
        <v>35</v>
      </c>
      <c r="J385" t="s">
        <v>35</v>
      </c>
      <c r="K385" t="s">
        <v>37</v>
      </c>
      <c r="L385" t="s">
        <v>35</v>
      </c>
      <c r="M385" t="s">
        <v>37</v>
      </c>
      <c r="N385" t="s">
        <v>35</v>
      </c>
      <c r="O385" t="str">
        <f t="shared" si="12"/>
        <v>True</v>
      </c>
      <c r="P385" s="3">
        <v>943146.14</v>
      </c>
      <c r="Q385" s="3">
        <v>55220.923799999997</v>
      </c>
      <c r="R385" s="3">
        <v>26270.543699999998</v>
      </c>
      <c r="S385" s="3">
        <v>41297.689647101543</v>
      </c>
      <c r="T385" s="3">
        <v>-246.06060793357139</v>
      </c>
      <c r="U385">
        <v>0.32006081634828548</v>
      </c>
      <c r="V385" s="3">
        <v>-422656.47815867141</v>
      </c>
      <c r="W385">
        <v>36.240725191868201</v>
      </c>
      <c r="X385">
        <v>161.1498558588406</v>
      </c>
      <c r="Y385">
        <v>68.707545756826562</v>
      </c>
      <c r="Z385" s="5">
        <v>0.29891378425876808</v>
      </c>
      <c r="AA385">
        <v>31.09200383153398</v>
      </c>
      <c r="AB385">
        <v>846.24222606127364</v>
      </c>
      <c r="AC385">
        <v>301.86412350413428</v>
      </c>
      <c r="AD385" s="5">
        <v>0.26292348580634428</v>
      </c>
      <c r="AE385">
        <v>163.2726656494836</v>
      </c>
      <c r="AF385">
        <v>58.241196894488588</v>
      </c>
      <c r="AG385">
        <v>13.25632756257507</v>
      </c>
      <c r="AH385" t="str">
        <f t="shared" si="11"/>
        <v>False</v>
      </c>
      <c r="AI385">
        <v>6</v>
      </c>
    </row>
    <row r="386" spans="1:35" x14ac:dyDescent="0.35">
      <c r="A386" t="s">
        <v>469</v>
      </c>
      <c r="B386" t="s">
        <v>464</v>
      </c>
      <c r="C386" t="s">
        <v>465</v>
      </c>
      <c r="D386" t="s">
        <v>34</v>
      </c>
      <c r="E386" t="s">
        <v>34</v>
      </c>
      <c r="F386" t="s">
        <v>34</v>
      </c>
      <c r="G386" t="s">
        <v>35</v>
      </c>
      <c r="H386" t="s">
        <v>35</v>
      </c>
      <c r="I386" t="s">
        <v>37</v>
      </c>
      <c r="J386" t="s">
        <v>35</v>
      </c>
      <c r="K386" t="s">
        <v>35</v>
      </c>
      <c r="L386" t="s">
        <v>35</v>
      </c>
      <c r="M386" t="s">
        <v>37</v>
      </c>
      <c r="N386" t="s">
        <v>35</v>
      </c>
      <c r="O386" t="str">
        <f t="shared" si="12"/>
        <v>True</v>
      </c>
      <c r="P386" s="3">
        <v>1098023.8899999999</v>
      </c>
      <c r="Q386" s="3">
        <v>58446.781199999998</v>
      </c>
      <c r="R386" s="3">
        <v>23044.686300000001</v>
      </c>
      <c r="S386" s="3">
        <v>44379.29199016247</v>
      </c>
      <c r="T386" s="3">
        <v>-3327.6629509945028</v>
      </c>
      <c r="U386">
        <v>0.22680842915526289</v>
      </c>
      <c r="V386" s="3">
        <v>-703683.42301988997</v>
      </c>
      <c r="W386">
        <v>55.689130684900412</v>
      </c>
      <c r="X386">
        <v>170.83143679606499</v>
      </c>
      <c r="Y386">
        <v>59.025964819602187</v>
      </c>
      <c r="Z386" s="5">
        <v>0.25679384002737699</v>
      </c>
      <c r="AA386">
        <v>32.959953076609096</v>
      </c>
      <c r="AB386">
        <v>899.06527589955681</v>
      </c>
      <c r="AC386">
        <v>249.0410736658512</v>
      </c>
      <c r="AD386" s="5">
        <v>0.21691463840446529</v>
      </c>
      <c r="AE386">
        <v>173.46426314867</v>
      </c>
      <c r="AF386">
        <v>48.049599395302167</v>
      </c>
      <c r="AG386">
        <v>11.388378317499949</v>
      </c>
      <c r="AH386" t="str">
        <f t="shared" si="11"/>
        <v>True</v>
      </c>
      <c r="AI386">
        <v>2</v>
      </c>
    </row>
    <row r="387" spans="1:35" x14ac:dyDescent="0.35">
      <c r="A387" t="s">
        <v>470</v>
      </c>
      <c r="B387" t="s">
        <v>464</v>
      </c>
      <c r="C387" t="s">
        <v>465</v>
      </c>
      <c r="D387" t="s">
        <v>34</v>
      </c>
      <c r="E387" t="s">
        <v>34</v>
      </c>
      <c r="F387" t="s">
        <v>34</v>
      </c>
      <c r="G387" t="s">
        <v>35</v>
      </c>
      <c r="H387" t="s">
        <v>35</v>
      </c>
      <c r="I387" t="s">
        <v>35</v>
      </c>
      <c r="J387" t="s">
        <v>35</v>
      </c>
      <c r="K387" t="s">
        <v>35</v>
      </c>
      <c r="L387" t="s">
        <v>35</v>
      </c>
      <c r="M387" t="s">
        <v>37</v>
      </c>
      <c r="N387" t="s">
        <v>35</v>
      </c>
      <c r="O387" t="str">
        <f t="shared" si="12"/>
        <v>False</v>
      </c>
      <c r="P387" s="3">
        <v>736773.99</v>
      </c>
      <c r="Q387" s="3">
        <v>59586.491699999999</v>
      </c>
      <c r="R387" s="3">
        <v>21904.9758</v>
      </c>
      <c r="S387" s="3">
        <v>44822.774790784577</v>
      </c>
      <c r="T387" s="3">
        <v>-3771.145751616617</v>
      </c>
      <c r="U387">
        <v>0.31711976033662048</v>
      </c>
      <c r="V387" s="3">
        <v>-374097.38903233228</v>
      </c>
      <c r="W387">
        <v>40.629805619341987</v>
      </c>
      <c r="X387">
        <v>173.99387991631389</v>
      </c>
      <c r="Y387">
        <v>55.863521699353328</v>
      </c>
      <c r="Z387" s="5">
        <v>0.24303555729199389</v>
      </c>
      <c r="AA387">
        <v>33.570109958771717</v>
      </c>
      <c r="AB387">
        <v>914.46075843435244</v>
      </c>
      <c r="AC387">
        <v>233.64559113105571</v>
      </c>
      <c r="AD387" s="5">
        <v>0.20350518157093839</v>
      </c>
      <c r="AE387">
        <v>176.43464372648131</v>
      </c>
      <c r="AF387">
        <v>45.079218817490961</v>
      </c>
      <c r="AG387">
        <v>10.778221435337329</v>
      </c>
      <c r="AH387" t="str">
        <f t="shared" ref="AH387:AH450" si="13">IF(OR(G387="True",I387="True",J387="True"),"True","False")</f>
        <v>False</v>
      </c>
      <c r="AI387">
        <v>0</v>
      </c>
    </row>
    <row r="388" spans="1:35" x14ac:dyDescent="0.35">
      <c r="A388" t="s">
        <v>471</v>
      </c>
      <c r="B388" t="s">
        <v>464</v>
      </c>
      <c r="C388" t="s">
        <v>465</v>
      </c>
      <c r="D388" t="s">
        <v>34</v>
      </c>
      <c r="E388" t="s">
        <v>34</v>
      </c>
      <c r="F388" t="s">
        <v>34</v>
      </c>
      <c r="G388" t="s">
        <v>35</v>
      </c>
      <c r="H388" t="s">
        <v>35</v>
      </c>
      <c r="I388" t="s">
        <v>35</v>
      </c>
      <c r="J388" t="s">
        <v>35</v>
      </c>
      <c r="K388" t="s">
        <v>35</v>
      </c>
      <c r="L388" t="s">
        <v>35</v>
      </c>
      <c r="M388" t="s">
        <v>35</v>
      </c>
      <c r="N388" t="s">
        <v>37</v>
      </c>
      <c r="O388" t="str">
        <f t="shared" si="12"/>
        <v>False</v>
      </c>
      <c r="P388" s="3">
        <v>31415</v>
      </c>
      <c r="Q388" s="3">
        <v>72313.981200000009</v>
      </c>
      <c r="R388" s="3">
        <v>9177.4863000000005</v>
      </c>
      <c r="S388" s="3">
        <v>41051.64954150738</v>
      </c>
      <c r="T388" s="3">
        <v>-2.0502339413610501E-2</v>
      </c>
      <c r="U388">
        <v>3.3706794903927131</v>
      </c>
      <c r="V388" s="3">
        <v>152134.31595321171</v>
      </c>
      <c r="W388">
        <v>3.4230582486080152</v>
      </c>
      <c r="X388">
        <v>205.82037981660301</v>
      </c>
      <c r="Y388">
        <v>24.037021799064231</v>
      </c>
      <c r="Z388" s="5">
        <v>0.1045736253438352</v>
      </c>
      <c r="AA388">
        <v>39.710665602277238</v>
      </c>
      <c r="AB388">
        <v>1042.2164533747209</v>
      </c>
      <c r="AC388">
        <v>105.8898961906871</v>
      </c>
      <c r="AD388" s="5">
        <v>9.2230041433678606E-2</v>
      </c>
      <c r="AE388">
        <v>201.08362982340739</v>
      </c>
      <c r="AF388">
        <v>20.430232720564739</v>
      </c>
      <c r="AG388">
        <v>4.6376657918318136</v>
      </c>
      <c r="AH388" t="str">
        <f t="shared" si="13"/>
        <v>False</v>
      </c>
      <c r="AI388">
        <v>0</v>
      </c>
    </row>
    <row r="389" spans="1:35" x14ac:dyDescent="0.35">
      <c r="A389" t="s">
        <v>472</v>
      </c>
      <c r="B389" t="s">
        <v>464</v>
      </c>
      <c r="C389" t="s">
        <v>465</v>
      </c>
      <c r="D389" t="s">
        <v>39</v>
      </c>
      <c r="E389" t="s">
        <v>39</v>
      </c>
      <c r="F389" t="s">
        <v>39</v>
      </c>
      <c r="G389" t="s">
        <v>35</v>
      </c>
      <c r="H389" t="s">
        <v>37</v>
      </c>
      <c r="I389" t="s">
        <v>37</v>
      </c>
      <c r="J389" t="s">
        <v>35</v>
      </c>
      <c r="K389" t="s">
        <v>35</v>
      </c>
      <c r="L389" t="s">
        <v>37</v>
      </c>
      <c r="M389" t="s">
        <v>37</v>
      </c>
      <c r="N389" t="s">
        <v>35</v>
      </c>
      <c r="O389" t="str">
        <f t="shared" ref="O389:O452" si="14">IF(COUNTIF(G389:N389,"True")&gt;1, "True", "False")</f>
        <v>True</v>
      </c>
      <c r="P389" s="3">
        <v>1981177.1</v>
      </c>
      <c r="Q389" s="3">
        <v>27780.3351</v>
      </c>
      <c r="R389" s="3">
        <v>53711.132400000002</v>
      </c>
      <c r="S389" s="3">
        <v>37160.046786621817</v>
      </c>
      <c r="T389" s="3">
        <v>3891.5822525461481</v>
      </c>
      <c r="U389">
        <v>0.32274964915400201</v>
      </c>
      <c r="V389" s="3">
        <v>-829122.80694907717</v>
      </c>
      <c r="W389">
        <v>34.393814804567171</v>
      </c>
      <c r="X389">
        <v>87.624328714648712</v>
      </c>
      <c r="Y389">
        <v>142.23307290101849</v>
      </c>
      <c r="Z389" s="5">
        <v>0.61878830919197081</v>
      </c>
      <c r="AA389">
        <v>16.906102395263112</v>
      </c>
      <c r="AB389">
        <v>508.68213562846478</v>
      </c>
      <c r="AC389">
        <v>639.42421393694315</v>
      </c>
      <c r="AD389" s="5">
        <v>0.55693813920546997</v>
      </c>
      <c r="AE389">
        <v>98.144344130516075</v>
      </c>
      <c r="AF389">
        <v>123.36951841345611</v>
      </c>
      <c r="AG389">
        <v>27.442228998845941</v>
      </c>
      <c r="AH389" t="str">
        <f t="shared" si="13"/>
        <v>True</v>
      </c>
      <c r="AI389">
        <v>9</v>
      </c>
    </row>
    <row r="390" spans="1:35" x14ac:dyDescent="0.35">
      <c r="A390" t="s">
        <v>473</v>
      </c>
      <c r="B390" t="s">
        <v>464</v>
      </c>
      <c r="C390" t="s">
        <v>465</v>
      </c>
      <c r="D390" t="s">
        <v>39</v>
      </c>
      <c r="E390" t="s">
        <v>39</v>
      </c>
      <c r="F390" t="s">
        <v>39</v>
      </c>
      <c r="G390" t="s">
        <v>35</v>
      </c>
      <c r="H390" t="s">
        <v>37</v>
      </c>
      <c r="I390" t="s">
        <v>35</v>
      </c>
      <c r="J390" t="s">
        <v>35</v>
      </c>
      <c r="K390" t="s">
        <v>35</v>
      </c>
      <c r="L390" t="s">
        <v>37</v>
      </c>
      <c r="M390" t="s">
        <v>37</v>
      </c>
      <c r="N390" t="s">
        <v>37</v>
      </c>
      <c r="O390" t="str">
        <f t="shared" si="14"/>
        <v>True</v>
      </c>
      <c r="P390" s="3">
        <v>1635030.88</v>
      </c>
      <c r="Q390" s="3">
        <v>25568.5167</v>
      </c>
      <c r="R390" s="3">
        <v>55922.950799999999</v>
      </c>
      <c r="S390" s="3">
        <v>37594.156316479777</v>
      </c>
      <c r="T390" s="3">
        <v>3457.4727226881801</v>
      </c>
      <c r="U390">
        <v>0.40534169666627551</v>
      </c>
      <c r="V390" s="3">
        <v>-447422.40954623627</v>
      </c>
      <c r="W390">
        <v>27.53484705906963</v>
      </c>
      <c r="X390">
        <v>82.004932526591915</v>
      </c>
      <c r="Y390">
        <v>147.8524690890753</v>
      </c>
      <c r="Z390" s="5">
        <v>0.64323562369460618</v>
      </c>
      <c r="AA390">
        <v>15.821904790004229</v>
      </c>
      <c r="AB390">
        <v>485.36015856445459</v>
      </c>
      <c r="AC390">
        <v>662.74619100095333</v>
      </c>
      <c r="AD390" s="5">
        <v>0.5772515684211853</v>
      </c>
      <c r="AE390">
        <v>93.644637963429403</v>
      </c>
      <c r="AF390">
        <v>127.86922458054281</v>
      </c>
      <c r="AG390">
        <v>28.52642660410482</v>
      </c>
      <c r="AH390" t="str">
        <f t="shared" si="13"/>
        <v>False</v>
      </c>
      <c r="AI390">
        <v>9</v>
      </c>
    </row>
    <row r="391" spans="1:35" x14ac:dyDescent="0.35">
      <c r="A391" t="s">
        <v>474</v>
      </c>
      <c r="B391" t="s">
        <v>464</v>
      </c>
      <c r="C391" t="s">
        <v>465</v>
      </c>
      <c r="D391" t="s">
        <v>39</v>
      </c>
      <c r="E391" t="s">
        <v>52</v>
      </c>
      <c r="F391" t="s">
        <v>39</v>
      </c>
      <c r="G391" t="s">
        <v>35</v>
      </c>
      <c r="H391" t="s">
        <v>37</v>
      </c>
      <c r="I391" t="s">
        <v>37</v>
      </c>
      <c r="J391" t="s">
        <v>35</v>
      </c>
      <c r="K391" t="s">
        <v>35</v>
      </c>
      <c r="L391" t="s">
        <v>37</v>
      </c>
      <c r="M391" t="s">
        <v>37</v>
      </c>
      <c r="N391" t="s">
        <v>37</v>
      </c>
      <c r="O391" t="str">
        <f t="shared" si="14"/>
        <v>True</v>
      </c>
      <c r="P391" s="3">
        <v>1995557.46</v>
      </c>
      <c r="Q391" s="3">
        <v>24620.3469</v>
      </c>
      <c r="R391" s="3">
        <v>56871.120600000009</v>
      </c>
      <c r="S391" s="3">
        <v>37160.036984330713</v>
      </c>
      <c r="T391" s="3">
        <v>3891.5920548372542</v>
      </c>
      <c r="U391">
        <v>0.33869446363563832</v>
      </c>
      <c r="V391" s="3">
        <v>-780303.20690325461</v>
      </c>
      <c r="W391">
        <v>32.84180993261063</v>
      </c>
      <c r="X391">
        <v>79.347904793732283</v>
      </c>
      <c r="Y391">
        <v>150.5094968219349</v>
      </c>
      <c r="Z391" s="5">
        <v>0.65479508497008998</v>
      </c>
      <c r="AA391">
        <v>15.3092619706217</v>
      </c>
      <c r="AB391">
        <v>472.22208599661121</v>
      </c>
      <c r="AC391">
        <v>675.88426356879677</v>
      </c>
      <c r="AD391" s="5">
        <v>0.58869482241313176</v>
      </c>
      <c r="AE391">
        <v>91.109798571601644</v>
      </c>
      <c r="AF391">
        <v>130.40406397237061</v>
      </c>
      <c r="AG391">
        <v>29.039069423487351</v>
      </c>
      <c r="AH391" t="str">
        <f t="shared" si="13"/>
        <v>True</v>
      </c>
      <c r="AI391">
        <v>9</v>
      </c>
    </row>
    <row r="392" spans="1:35" x14ac:dyDescent="0.35">
      <c r="A392" t="s">
        <v>475</v>
      </c>
      <c r="B392" t="s">
        <v>464</v>
      </c>
      <c r="C392" t="s">
        <v>465</v>
      </c>
      <c r="D392" t="s">
        <v>39</v>
      </c>
      <c r="E392" t="s">
        <v>39</v>
      </c>
      <c r="F392" t="s">
        <v>39</v>
      </c>
      <c r="G392" t="s">
        <v>35</v>
      </c>
      <c r="H392" t="s">
        <v>37</v>
      </c>
      <c r="I392" t="s">
        <v>37</v>
      </c>
      <c r="J392" t="s">
        <v>35</v>
      </c>
      <c r="K392" t="s">
        <v>35</v>
      </c>
      <c r="L392" t="s">
        <v>35</v>
      </c>
      <c r="M392" t="s">
        <v>37</v>
      </c>
      <c r="N392" t="s">
        <v>37</v>
      </c>
      <c r="O392" t="str">
        <f t="shared" si="14"/>
        <v>True</v>
      </c>
      <c r="P392" s="3">
        <v>1451545.14</v>
      </c>
      <c r="Q392" s="3">
        <v>38899.229399999997</v>
      </c>
      <c r="R392" s="3">
        <v>42592.238100000002</v>
      </c>
      <c r="S392" s="3">
        <v>38654.730132069461</v>
      </c>
      <c r="T392" s="3">
        <v>2396.8989070985058</v>
      </c>
      <c r="U392">
        <v>0.34691735249650429</v>
      </c>
      <c r="V392" s="3">
        <v>-551762.39985802979</v>
      </c>
      <c r="W392">
        <v>32.264347275009328</v>
      </c>
      <c r="X392">
        <v>117.3440320528278</v>
      </c>
      <c r="Y392">
        <v>112.5133695628394</v>
      </c>
      <c r="Z392" s="5">
        <v>0.48949204494605419</v>
      </c>
      <c r="AA392">
        <v>22.640175970061311</v>
      </c>
      <c r="AB392">
        <v>644.54015256744026</v>
      </c>
      <c r="AC392">
        <v>503.56619699796772</v>
      </c>
      <c r="AD392" s="5">
        <v>0.43860588105673509</v>
      </c>
      <c r="AE392">
        <v>124.3565796965928</v>
      </c>
      <c r="AF392">
        <v>97.157282847379463</v>
      </c>
      <c r="AG392">
        <v>21.708155424047739</v>
      </c>
      <c r="AH392" t="str">
        <f t="shared" si="13"/>
        <v>True</v>
      </c>
      <c r="AI392">
        <v>7</v>
      </c>
    </row>
    <row r="393" spans="1:35" x14ac:dyDescent="0.35">
      <c r="A393" t="s">
        <v>476</v>
      </c>
      <c r="B393" t="s">
        <v>477</v>
      </c>
      <c r="C393" t="s">
        <v>33</v>
      </c>
      <c r="D393" t="s">
        <v>422</v>
      </c>
      <c r="E393" t="s">
        <v>39</v>
      </c>
      <c r="F393" t="s">
        <v>422</v>
      </c>
      <c r="G393" t="s">
        <v>35</v>
      </c>
      <c r="H393" t="s">
        <v>35</v>
      </c>
      <c r="I393" t="s">
        <v>35</v>
      </c>
      <c r="J393" t="s">
        <v>35</v>
      </c>
      <c r="K393" t="s">
        <v>35</v>
      </c>
      <c r="L393" t="s">
        <v>35</v>
      </c>
      <c r="M393" t="s">
        <v>35</v>
      </c>
      <c r="N393" t="s">
        <v>35</v>
      </c>
      <c r="O393" t="str">
        <f t="shared" si="14"/>
        <v>False</v>
      </c>
      <c r="P393" s="3">
        <v>0</v>
      </c>
      <c r="Q393" s="3">
        <v>0</v>
      </c>
      <c r="R393" s="3">
        <v>0</v>
      </c>
      <c r="S393" s="3">
        <v>84663.389242518213</v>
      </c>
      <c r="T393" s="3">
        <v>0</v>
      </c>
      <c r="U393">
        <v>0</v>
      </c>
      <c r="V393" s="3">
        <v>0</v>
      </c>
      <c r="W393">
        <v>0</v>
      </c>
      <c r="X393">
        <v>33.865355697007288</v>
      </c>
      <c r="Y393">
        <v>0</v>
      </c>
      <c r="Z393" s="5">
        <v>0</v>
      </c>
      <c r="AA393">
        <v>18.586913115810809</v>
      </c>
      <c r="AB393">
        <v>428.67538856971248</v>
      </c>
      <c r="AC393">
        <v>0</v>
      </c>
      <c r="AD393" s="5">
        <v>0</v>
      </c>
      <c r="AE393">
        <v>235.27738121279501</v>
      </c>
      <c r="AF393">
        <v>0</v>
      </c>
      <c r="AG393">
        <v>3.5527136788005009E-15</v>
      </c>
      <c r="AH393" t="str">
        <f t="shared" si="13"/>
        <v>False</v>
      </c>
      <c r="AI393">
        <v>0</v>
      </c>
    </row>
    <row r="394" spans="1:35" x14ac:dyDescent="0.35">
      <c r="A394" t="s">
        <v>478</v>
      </c>
      <c r="B394" t="s">
        <v>477</v>
      </c>
      <c r="C394" t="s">
        <v>33</v>
      </c>
      <c r="D394" t="s">
        <v>422</v>
      </c>
      <c r="E394" t="s">
        <v>39</v>
      </c>
      <c r="F394" t="s">
        <v>422</v>
      </c>
      <c r="G394" t="s">
        <v>35</v>
      </c>
      <c r="H394" t="s">
        <v>35</v>
      </c>
      <c r="I394" t="s">
        <v>35</v>
      </c>
      <c r="J394" t="s">
        <v>37</v>
      </c>
      <c r="K394" t="s">
        <v>35</v>
      </c>
      <c r="L394" t="s">
        <v>35</v>
      </c>
      <c r="M394" t="s">
        <v>35</v>
      </c>
      <c r="N394" t="s">
        <v>35</v>
      </c>
      <c r="O394" t="str">
        <f t="shared" si="14"/>
        <v>False</v>
      </c>
      <c r="P394" s="3">
        <v>70531.899999999994</v>
      </c>
      <c r="Q394" s="3">
        <v>0</v>
      </c>
      <c r="R394" s="3">
        <v>0</v>
      </c>
      <c r="S394" s="3">
        <v>83999.232609982806</v>
      </c>
      <c r="T394" s="3">
        <v>664.15663253541084</v>
      </c>
      <c r="U394">
        <v>4.7677978228069198E-2</v>
      </c>
      <c r="V394" s="3">
        <v>-57248.767349291782</v>
      </c>
      <c r="W394">
        <v>106.1976897388576</v>
      </c>
      <c r="X394">
        <v>33.599693043993121</v>
      </c>
      <c r="Y394">
        <v>0.26566265301416792</v>
      </c>
      <c r="Z394" s="5">
        <v>7.8446733408338003E-3</v>
      </c>
      <c r="AA394">
        <v>18.441104854002809</v>
      </c>
      <c r="AB394">
        <v>425.31257017712812</v>
      </c>
      <c r="AC394">
        <v>3.3628183925843591</v>
      </c>
      <c r="AD394" s="5">
        <v>7.8446733408336997E-3</v>
      </c>
      <c r="AE394">
        <v>233.43170701269381</v>
      </c>
      <c r="AF394">
        <v>1.845674200101185</v>
      </c>
      <c r="AG394">
        <v>0.1458082618079963</v>
      </c>
      <c r="AH394" t="str">
        <f t="shared" si="13"/>
        <v>True</v>
      </c>
      <c r="AI394">
        <v>1</v>
      </c>
    </row>
    <row r="395" spans="1:35" x14ac:dyDescent="0.35">
      <c r="A395" t="s">
        <v>479</v>
      </c>
      <c r="B395" t="s">
        <v>477</v>
      </c>
      <c r="C395" t="s">
        <v>33</v>
      </c>
      <c r="D395" t="s">
        <v>422</v>
      </c>
      <c r="E395" t="s">
        <v>39</v>
      </c>
      <c r="F395" t="s">
        <v>422</v>
      </c>
      <c r="G395" t="s">
        <v>35</v>
      </c>
      <c r="H395" t="s">
        <v>35</v>
      </c>
      <c r="I395" t="s">
        <v>35</v>
      </c>
      <c r="J395" t="s">
        <v>35</v>
      </c>
      <c r="K395" t="s">
        <v>37</v>
      </c>
      <c r="L395" t="s">
        <v>35</v>
      </c>
      <c r="M395" t="s">
        <v>35</v>
      </c>
      <c r="N395" t="s">
        <v>35</v>
      </c>
      <c r="O395" t="str">
        <f t="shared" si="14"/>
        <v>False</v>
      </c>
      <c r="P395" s="3">
        <v>77667.7</v>
      </c>
      <c r="Q395" s="3">
        <v>0</v>
      </c>
      <c r="R395" s="3">
        <v>0</v>
      </c>
      <c r="S395" s="3">
        <v>83719.608928979011</v>
      </c>
      <c r="T395" s="3">
        <v>943.78031353920039</v>
      </c>
      <c r="U395">
        <v>6.1526664223772003E-2</v>
      </c>
      <c r="V395" s="3">
        <v>-58792.093729215987</v>
      </c>
      <c r="W395">
        <v>82.294257345487665</v>
      </c>
      <c r="X395">
        <v>33.487843571591597</v>
      </c>
      <c r="Y395">
        <v>0.37751212541568441</v>
      </c>
      <c r="Z395" s="5">
        <v>1.1147443091791999E-2</v>
      </c>
      <c r="AA395">
        <v>18.379716559600219</v>
      </c>
      <c r="AB395">
        <v>423.89675407077982</v>
      </c>
      <c r="AC395">
        <v>4.7786344989326608</v>
      </c>
      <c r="AD395" s="5">
        <v>1.11474430917919E-2</v>
      </c>
      <c r="AE395">
        <v>232.65463999493949</v>
      </c>
      <c r="AF395">
        <v>2.622741217855467</v>
      </c>
      <c r="AG395">
        <v>0.20719655621058661</v>
      </c>
      <c r="AH395" t="str">
        <f t="shared" si="13"/>
        <v>False</v>
      </c>
      <c r="AI395">
        <v>2</v>
      </c>
    </row>
    <row r="396" spans="1:35" x14ac:dyDescent="0.35">
      <c r="A396" t="s">
        <v>480</v>
      </c>
      <c r="B396" t="s">
        <v>477</v>
      </c>
      <c r="C396" t="s">
        <v>33</v>
      </c>
      <c r="D396" t="s">
        <v>283</v>
      </c>
      <c r="E396" t="s">
        <v>52</v>
      </c>
      <c r="F396" t="s">
        <v>283</v>
      </c>
      <c r="G396" t="s">
        <v>35</v>
      </c>
      <c r="H396" t="s">
        <v>35</v>
      </c>
      <c r="I396" t="s">
        <v>35</v>
      </c>
      <c r="J396" t="s">
        <v>35</v>
      </c>
      <c r="K396" t="s">
        <v>35</v>
      </c>
      <c r="L396" t="s">
        <v>35</v>
      </c>
      <c r="M396" t="s">
        <v>35</v>
      </c>
      <c r="N396" t="s">
        <v>37</v>
      </c>
      <c r="O396" t="str">
        <f t="shared" si="14"/>
        <v>False</v>
      </c>
      <c r="P396" s="3">
        <v>159750</v>
      </c>
      <c r="Q396" s="3">
        <v>0</v>
      </c>
      <c r="R396" s="3">
        <v>0</v>
      </c>
      <c r="S396" s="3">
        <v>46885.307770820953</v>
      </c>
      <c r="T396" s="3">
        <v>37778.08147169726</v>
      </c>
      <c r="U396">
        <v>1.1973798132904581</v>
      </c>
      <c r="V396" s="3">
        <v>595811.62943394517</v>
      </c>
      <c r="W396">
        <v>4.2286424767144979</v>
      </c>
      <c r="X396">
        <v>18.754123108328379</v>
      </c>
      <c r="Y396">
        <v>15.111232588678909</v>
      </c>
      <c r="Z396" s="5">
        <v>0.44621508552512562</v>
      </c>
      <c r="AA396">
        <v>10.29315209019121</v>
      </c>
      <c r="AB396">
        <v>237.39396339656179</v>
      </c>
      <c r="AC396">
        <v>191.28142517315069</v>
      </c>
      <c r="AD396" s="5">
        <v>0.44621508552512562</v>
      </c>
      <c r="AE396">
        <v>130.29306443280009</v>
      </c>
      <c r="AF396">
        <v>104.9843167799949</v>
      </c>
      <c r="AG396">
        <v>8.2937610256196006</v>
      </c>
      <c r="AH396" t="str">
        <f t="shared" si="13"/>
        <v>False</v>
      </c>
      <c r="AI396">
        <v>0</v>
      </c>
    </row>
    <row r="397" spans="1:35" x14ac:dyDescent="0.35">
      <c r="A397" t="s">
        <v>481</v>
      </c>
      <c r="B397" t="s">
        <v>477</v>
      </c>
      <c r="C397" t="s">
        <v>33</v>
      </c>
      <c r="D397" t="s">
        <v>422</v>
      </c>
      <c r="E397" t="s">
        <v>39</v>
      </c>
      <c r="F397" t="s">
        <v>422</v>
      </c>
      <c r="G397" t="s">
        <v>35</v>
      </c>
      <c r="H397" t="s">
        <v>35</v>
      </c>
      <c r="I397" t="s">
        <v>35</v>
      </c>
      <c r="J397" t="s">
        <v>37</v>
      </c>
      <c r="K397" t="s">
        <v>37</v>
      </c>
      <c r="L397" t="s">
        <v>35</v>
      </c>
      <c r="M397" t="s">
        <v>35</v>
      </c>
      <c r="N397" t="s">
        <v>35</v>
      </c>
      <c r="O397" t="str">
        <f t="shared" si="14"/>
        <v>True</v>
      </c>
      <c r="P397" s="3">
        <v>148199.6</v>
      </c>
      <c r="Q397" s="3">
        <v>0</v>
      </c>
      <c r="R397" s="3">
        <v>0</v>
      </c>
      <c r="S397" s="3">
        <v>83017.988946277619</v>
      </c>
      <c r="T397" s="3">
        <v>1645.4002962405921</v>
      </c>
      <c r="U397">
        <v>5.6215676293719298E-2</v>
      </c>
      <c r="V397" s="3">
        <v>-115291.5940751882</v>
      </c>
      <c r="W397">
        <v>90.069024746504681</v>
      </c>
      <c r="X397">
        <v>33.207195578511048</v>
      </c>
      <c r="Y397">
        <v>0.6581601184962409</v>
      </c>
      <c r="Z397" s="5">
        <v>1.9434614075363201E-2</v>
      </c>
      <c r="AA397">
        <v>18.22568363255272</v>
      </c>
      <c r="AB397">
        <v>420.34424782925379</v>
      </c>
      <c r="AC397">
        <v>8.331140740458693</v>
      </c>
      <c r="AD397" s="5">
        <v>1.9434614075363101E-2</v>
      </c>
      <c r="AE397">
        <v>230.70485610826219</v>
      </c>
      <c r="AF397">
        <v>4.5725251045327626</v>
      </c>
      <c r="AG397">
        <v>0.3612294832580929</v>
      </c>
      <c r="AH397" t="str">
        <f t="shared" si="13"/>
        <v>True</v>
      </c>
      <c r="AI397">
        <v>2</v>
      </c>
    </row>
    <row r="398" spans="1:35" x14ac:dyDescent="0.35">
      <c r="A398" t="s">
        <v>482</v>
      </c>
      <c r="B398" t="s">
        <v>477</v>
      </c>
      <c r="C398" t="s">
        <v>33</v>
      </c>
      <c r="D398" t="s">
        <v>283</v>
      </c>
      <c r="E398" t="s">
        <v>52</v>
      </c>
      <c r="F398" t="s">
        <v>283</v>
      </c>
      <c r="G398" t="s">
        <v>35</v>
      </c>
      <c r="H398" t="s">
        <v>35</v>
      </c>
      <c r="I398" t="s">
        <v>35</v>
      </c>
      <c r="J398" t="s">
        <v>37</v>
      </c>
      <c r="K398" t="s">
        <v>35</v>
      </c>
      <c r="L398" t="s">
        <v>35</v>
      </c>
      <c r="M398" t="s">
        <v>35</v>
      </c>
      <c r="N398" t="s">
        <v>37</v>
      </c>
      <c r="O398" t="str">
        <f t="shared" si="14"/>
        <v>True</v>
      </c>
      <c r="P398" s="3">
        <v>158698.1</v>
      </c>
      <c r="Q398" s="3">
        <v>0</v>
      </c>
      <c r="R398" s="3">
        <v>0</v>
      </c>
      <c r="S398" s="3">
        <v>46728.166009397683</v>
      </c>
      <c r="T398" s="3">
        <v>37935.223233120538</v>
      </c>
      <c r="U398">
        <v>1.210330052227278</v>
      </c>
      <c r="V398" s="3">
        <v>600006.36466241081</v>
      </c>
      <c r="W398">
        <v>4.1833970245743446</v>
      </c>
      <c r="X398">
        <v>18.691266403759069</v>
      </c>
      <c r="Y398">
        <v>15.174089293248221</v>
      </c>
      <c r="Z398" s="5">
        <v>0.44807116242954931</v>
      </c>
      <c r="AA398">
        <v>10.25865335003242</v>
      </c>
      <c r="AB398">
        <v>236.59830890834269</v>
      </c>
      <c r="AC398">
        <v>192.07707966136979</v>
      </c>
      <c r="AD398" s="5">
        <v>0.44807116242954931</v>
      </c>
      <c r="AE398">
        <v>129.8563715193977</v>
      </c>
      <c r="AF398">
        <v>105.42100969339729</v>
      </c>
      <c r="AG398">
        <v>8.3282597657783874</v>
      </c>
      <c r="AH398" t="str">
        <f t="shared" si="13"/>
        <v>True</v>
      </c>
      <c r="AI398">
        <v>1</v>
      </c>
    </row>
    <row r="399" spans="1:35" x14ac:dyDescent="0.35">
      <c r="A399" t="s">
        <v>483</v>
      </c>
      <c r="B399" t="s">
        <v>477</v>
      </c>
      <c r="C399" t="s">
        <v>33</v>
      </c>
      <c r="D399" t="s">
        <v>283</v>
      </c>
      <c r="E399" t="s">
        <v>52</v>
      </c>
      <c r="F399" t="s">
        <v>283</v>
      </c>
      <c r="G399" t="s">
        <v>35</v>
      </c>
      <c r="H399" t="s">
        <v>35</v>
      </c>
      <c r="I399" t="s">
        <v>35</v>
      </c>
      <c r="J399" t="s">
        <v>35</v>
      </c>
      <c r="K399" t="s">
        <v>37</v>
      </c>
      <c r="L399" t="s">
        <v>35</v>
      </c>
      <c r="M399" t="s">
        <v>35</v>
      </c>
      <c r="N399" t="s">
        <v>37</v>
      </c>
      <c r="O399" t="str">
        <f t="shared" si="14"/>
        <v>True</v>
      </c>
      <c r="P399" s="3">
        <v>164939.57</v>
      </c>
      <c r="Q399" s="3">
        <v>0</v>
      </c>
      <c r="R399" s="3">
        <v>0</v>
      </c>
      <c r="S399" s="3">
        <v>46246.716832709717</v>
      </c>
      <c r="T399" s="3">
        <v>38416.672409808503</v>
      </c>
      <c r="U399">
        <v>1.179309470806118</v>
      </c>
      <c r="V399" s="3">
        <v>603393.87819616986</v>
      </c>
      <c r="W399">
        <v>4.293437188950489</v>
      </c>
      <c r="X399">
        <v>18.49868673308389</v>
      </c>
      <c r="Y399">
        <v>15.3666689639234</v>
      </c>
      <c r="Z399" s="5">
        <v>0.45375779015607293</v>
      </c>
      <c r="AA399">
        <v>10.15295649455757</v>
      </c>
      <c r="AB399">
        <v>234.1605915580239</v>
      </c>
      <c r="AC399">
        <v>194.51479701168859</v>
      </c>
      <c r="AD399" s="5">
        <v>0.45375779015607293</v>
      </c>
      <c r="AE399">
        <v>128.5184366399692</v>
      </c>
      <c r="AF399">
        <v>106.7589445728258</v>
      </c>
      <c r="AG399">
        <v>8.4339566212532429</v>
      </c>
      <c r="AH399" t="str">
        <f t="shared" si="13"/>
        <v>False</v>
      </c>
      <c r="AI399">
        <v>2</v>
      </c>
    </row>
    <row r="400" spans="1:35" x14ac:dyDescent="0.35">
      <c r="A400" t="s">
        <v>484</v>
      </c>
      <c r="B400" t="s">
        <v>477</v>
      </c>
      <c r="C400" t="s">
        <v>33</v>
      </c>
      <c r="D400" t="s">
        <v>283</v>
      </c>
      <c r="E400" t="s">
        <v>52</v>
      </c>
      <c r="F400" t="s">
        <v>283</v>
      </c>
      <c r="G400" t="s">
        <v>35</v>
      </c>
      <c r="H400" t="s">
        <v>35</v>
      </c>
      <c r="I400" t="s">
        <v>35</v>
      </c>
      <c r="J400" t="s">
        <v>37</v>
      </c>
      <c r="K400" t="s">
        <v>37</v>
      </c>
      <c r="L400" t="s">
        <v>35</v>
      </c>
      <c r="M400" t="s">
        <v>35</v>
      </c>
      <c r="N400" t="s">
        <v>37</v>
      </c>
      <c r="O400" t="str">
        <f t="shared" si="14"/>
        <v>True</v>
      </c>
      <c r="P400" s="3">
        <v>235081.83</v>
      </c>
      <c r="Q400" s="3">
        <v>0</v>
      </c>
      <c r="R400" s="3">
        <v>0</v>
      </c>
      <c r="S400" s="3">
        <v>46044.212130986823</v>
      </c>
      <c r="T400" s="3">
        <v>38619.177111531397</v>
      </c>
      <c r="U400">
        <v>0.83179604852308953</v>
      </c>
      <c r="V400" s="3">
        <v>537301.71223062801</v>
      </c>
      <c r="W400">
        <v>6.0871786398008547</v>
      </c>
      <c r="X400">
        <v>18.417684852394729</v>
      </c>
      <c r="Y400">
        <v>15.44767084461256</v>
      </c>
      <c r="Z400" s="5">
        <v>0.45614967056075201</v>
      </c>
      <c r="AA400">
        <v>10.10849882129239</v>
      </c>
      <c r="AB400">
        <v>233.13525129613581</v>
      </c>
      <c r="AC400">
        <v>195.5401372735767</v>
      </c>
      <c r="AD400" s="5">
        <v>0.45614967056075201</v>
      </c>
      <c r="AE400">
        <v>127.9556812821821</v>
      </c>
      <c r="AF400">
        <v>107.32169993061289</v>
      </c>
      <c r="AG400">
        <v>8.4784142945184211</v>
      </c>
      <c r="AH400" t="str">
        <f t="shared" si="13"/>
        <v>True</v>
      </c>
      <c r="AI400">
        <v>2</v>
      </c>
    </row>
    <row r="401" spans="1:35" x14ac:dyDescent="0.35">
      <c r="A401" t="s">
        <v>485</v>
      </c>
      <c r="B401" t="s">
        <v>486</v>
      </c>
      <c r="C401" t="s">
        <v>63</v>
      </c>
      <c r="D401" t="s">
        <v>34</v>
      </c>
      <c r="E401" t="s">
        <v>52</v>
      </c>
      <c r="F401" t="s">
        <v>34</v>
      </c>
      <c r="G401" t="s">
        <v>35</v>
      </c>
      <c r="H401" t="s">
        <v>35</v>
      </c>
      <c r="I401" t="s">
        <v>35</v>
      </c>
      <c r="J401" t="s">
        <v>35</v>
      </c>
      <c r="K401" t="s">
        <v>35</v>
      </c>
      <c r="L401" t="s">
        <v>35</v>
      </c>
      <c r="M401" t="s">
        <v>35</v>
      </c>
      <c r="N401" t="s">
        <v>35</v>
      </c>
      <c r="O401" t="str">
        <f t="shared" si="14"/>
        <v>False</v>
      </c>
      <c r="P401" s="3">
        <v>0</v>
      </c>
      <c r="Q401" s="3">
        <v>0</v>
      </c>
      <c r="R401" s="3">
        <v>0</v>
      </c>
      <c r="S401" s="3">
        <v>31974.470742157879</v>
      </c>
      <c r="T401" s="3">
        <v>0</v>
      </c>
      <c r="U401">
        <v>0</v>
      </c>
      <c r="V401" s="3">
        <v>0</v>
      </c>
      <c r="W401">
        <v>0</v>
      </c>
      <c r="X401">
        <v>12.789788296863151</v>
      </c>
      <c r="Y401">
        <v>0</v>
      </c>
      <c r="Z401" s="5">
        <v>0</v>
      </c>
      <c r="AA401">
        <v>9.8686638093079875</v>
      </c>
      <c r="AB401">
        <v>161.89605439067279</v>
      </c>
      <c r="AC401">
        <v>0</v>
      </c>
      <c r="AD401" s="5">
        <v>0</v>
      </c>
      <c r="AE401">
        <v>124.91979505453151</v>
      </c>
      <c r="AF401">
        <v>0</v>
      </c>
      <c r="AG401">
        <v>0</v>
      </c>
      <c r="AH401" t="str">
        <f t="shared" si="13"/>
        <v>False</v>
      </c>
      <c r="AI401">
        <v>0</v>
      </c>
    </row>
    <row r="402" spans="1:35" x14ac:dyDescent="0.35">
      <c r="A402" t="s">
        <v>487</v>
      </c>
      <c r="B402" t="s">
        <v>486</v>
      </c>
      <c r="C402" t="s">
        <v>63</v>
      </c>
      <c r="D402" t="s">
        <v>34</v>
      </c>
      <c r="E402" t="s">
        <v>52</v>
      </c>
      <c r="F402" t="s">
        <v>34</v>
      </c>
      <c r="G402" t="s">
        <v>35</v>
      </c>
      <c r="H402" t="s">
        <v>37</v>
      </c>
      <c r="I402" t="s">
        <v>35</v>
      </c>
      <c r="J402" t="s">
        <v>35</v>
      </c>
      <c r="K402" t="s">
        <v>35</v>
      </c>
      <c r="L402" t="s">
        <v>35</v>
      </c>
      <c r="M402" t="s">
        <v>37</v>
      </c>
      <c r="N402" t="s">
        <v>35</v>
      </c>
      <c r="O402" t="str">
        <f t="shared" si="14"/>
        <v>True</v>
      </c>
      <c r="P402" s="3">
        <v>197296.46121939609</v>
      </c>
      <c r="Q402" s="3">
        <v>0</v>
      </c>
      <c r="R402" s="3">
        <v>0</v>
      </c>
      <c r="S402" s="3">
        <v>25294.182681434799</v>
      </c>
      <c r="T402" s="3">
        <v>6680.2880607230718</v>
      </c>
      <c r="U402">
        <v>0.17143867222139531</v>
      </c>
      <c r="V402" s="3">
        <v>-63690.700004934653</v>
      </c>
      <c r="W402">
        <v>29.534124790127809</v>
      </c>
      <c r="X402">
        <v>10.11767307257392</v>
      </c>
      <c r="Y402">
        <v>2.6721152242892292</v>
      </c>
      <c r="Z402" s="5">
        <v>0.20892568057163211</v>
      </c>
      <c r="AA402">
        <v>7.8068465066156802</v>
      </c>
      <c r="AB402">
        <v>128.07181104523951</v>
      </c>
      <c r="AC402">
        <v>33.824243345433267</v>
      </c>
      <c r="AD402" s="5">
        <v>0.20892568057163211</v>
      </c>
      <c r="AE402">
        <v>98.820841855894685</v>
      </c>
      <c r="AF402">
        <v>26.098953198636789</v>
      </c>
      <c r="AG402">
        <v>2.0618173026923068</v>
      </c>
      <c r="AH402" t="str">
        <f t="shared" si="13"/>
        <v>False</v>
      </c>
      <c r="AI402">
        <v>1</v>
      </c>
    </row>
    <row r="403" spans="1:35" x14ac:dyDescent="0.35">
      <c r="A403" t="s">
        <v>488</v>
      </c>
      <c r="B403" t="s">
        <v>486</v>
      </c>
      <c r="C403" t="s">
        <v>63</v>
      </c>
      <c r="D403" t="s">
        <v>34</v>
      </c>
      <c r="E403" t="s">
        <v>52</v>
      </c>
      <c r="F403" t="s">
        <v>34</v>
      </c>
      <c r="G403" t="s">
        <v>37</v>
      </c>
      <c r="H403" t="s">
        <v>35</v>
      </c>
      <c r="I403" t="s">
        <v>35</v>
      </c>
      <c r="J403" t="s">
        <v>35</v>
      </c>
      <c r="K403" t="s">
        <v>35</v>
      </c>
      <c r="L403" t="s">
        <v>35</v>
      </c>
      <c r="M403" t="s">
        <v>37</v>
      </c>
      <c r="N403" t="s">
        <v>35</v>
      </c>
      <c r="O403" t="str">
        <f t="shared" si="14"/>
        <v>True</v>
      </c>
      <c r="P403" s="3">
        <v>174122.95773102931</v>
      </c>
      <c r="Q403" s="3">
        <v>0</v>
      </c>
      <c r="R403" s="3">
        <v>0</v>
      </c>
      <c r="S403" s="3">
        <v>25125.276835225461</v>
      </c>
      <c r="T403" s="3">
        <v>6849.1939069324189</v>
      </c>
      <c r="U403">
        <v>0.19916651584497511</v>
      </c>
      <c r="V403" s="3">
        <v>-37139.079592380927</v>
      </c>
      <c r="W403">
        <v>25.422401540536121</v>
      </c>
      <c r="X403">
        <v>10.050110734090181</v>
      </c>
      <c r="Y403">
        <v>2.7396775627729681</v>
      </c>
      <c r="Z403" s="5">
        <v>0.2142082026052696</v>
      </c>
      <c r="AA403">
        <v>7.7547150726004492</v>
      </c>
      <c r="AB403">
        <v>127.21659157076181</v>
      </c>
      <c r="AC403">
        <v>34.679462819910981</v>
      </c>
      <c r="AD403" s="5">
        <v>0.2142082026052696</v>
      </c>
      <c r="AE403">
        <v>98.160950286081643</v>
      </c>
      <c r="AF403">
        <v>26.75884476844983</v>
      </c>
      <c r="AG403">
        <v>2.1139487367075378</v>
      </c>
      <c r="AH403" t="str">
        <f t="shared" si="13"/>
        <v>True</v>
      </c>
      <c r="AI403">
        <v>1</v>
      </c>
    </row>
    <row r="404" spans="1:35" x14ac:dyDescent="0.35">
      <c r="A404" t="s">
        <v>489</v>
      </c>
      <c r="B404" t="s">
        <v>486</v>
      </c>
      <c r="C404" t="s">
        <v>63</v>
      </c>
      <c r="D404" t="s">
        <v>39</v>
      </c>
      <c r="E404" t="s">
        <v>52</v>
      </c>
      <c r="F404" t="s">
        <v>39</v>
      </c>
      <c r="G404" t="s">
        <v>35</v>
      </c>
      <c r="H404" t="s">
        <v>35</v>
      </c>
      <c r="I404" t="s">
        <v>35</v>
      </c>
      <c r="J404" t="s">
        <v>35</v>
      </c>
      <c r="K404" t="s">
        <v>37</v>
      </c>
      <c r="L404" t="s">
        <v>35</v>
      </c>
      <c r="M404" t="s">
        <v>37</v>
      </c>
      <c r="N404" t="s">
        <v>35</v>
      </c>
      <c r="O404" t="str">
        <f t="shared" si="14"/>
        <v>True</v>
      </c>
      <c r="P404" s="3">
        <v>259228.81345826681</v>
      </c>
      <c r="Q404" s="3">
        <v>0</v>
      </c>
      <c r="R404" s="3">
        <v>0</v>
      </c>
      <c r="S404" s="3">
        <v>21702.898502148721</v>
      </c>
      <c r="T404" s="3">
        <v>10271.572240009151</v>
      </c>
      <c r="U404">
        <v>0.20062569440136649</v>
      </c>
      <c r="V404" s="3">
        <v>-53797.368658083811</v>
      </c>
      <c r="W404">
        <v>25.237500881173361</v>
      </c>
      <c r="X404">
        <v>8.6811594008594906</v>
      </c>
      <c r="Y404">
        <v>4.1086288960036601</v>
      </c>
      <c r="Z404" s="5">
        <v>0.32124291666433219</v>
      </c>
      <c r="AA404">
        <v>6.6984254636261502</v>
      </c>
      <c r="AB404">
        <v>109.8880936817657</v>
      </c>
      <c r="AC404">
        <v>52.007960708907092</v>
      </c>
      <c r="AD404" s="5">
        <v>0.32124291666433219</v>
      </c>
      <c r="AE404">
        <v>84.790195742103151</v>
      </c>
      <c r="AF404">
        <v>40.129599312428311</v>
      </c>
      <c r="AG404">
        <v>3.1702383456818368</v>
      </c>
      <c r="AH404" t="str">
        <f t="shared" si="13"/>
        <v>False</v>
      </c>
      <c r="AI404">
        <v>3</v>
      </c>
    </row>
    <row r="405" spans="1:35" x14ac:dyDescent="0.35">
      <c r="A405" t="s">
        <v>490</v>
      </c>
      <c r="B405" t="s">
        <v>486</v>
      </c>
      <c r="C405" t="s">
        <v>63</v>
      </c>
      <c r="D405" t="s">
        <v>34</v>
      </c>
      <c r="E405" t="s">
        <v>52</v>
      </c>
      <c r="F405" t="s">
        <v>34</v>
      </c>
      <c r="G405" t="s">
        <v>35</v>
      </c>
      <c r="H405" t="s">
        <v>35</v>
      </c>
      <c r="I405" t="s">
        <v>35</v>
      </c>
      <c r="J405" t="s">
        <v>35</v>
      </c>
      <c r="K405" t="s">
        <v>35</v>
      </c>
      <c r="L405" t="s">
        <v>35</v>
      </c>
      <c r="M405" t="s">
        <v>37</v>
      </c>
      <c r="N405" t="s">
        <v>35</v>
      </c>
      <c r="O405" t="str">
        <f t="shared" si="14"/>
        <v>False</v>
      </c>
      <c r="P405" s="3">
        <v>157570.4552393388</v>
      </c>
      <c r="Q405" s="3">
        <v>0</v>
      </c>
      <c r="R405" s="3">
        <v>0</v>
      </c>
      <c r="S405" s="3">
        <v>27798.75720976575</v>
      </c>
      <c r="T405" s="3">
        <v>4175.7135323921202</v>
      </c>
      <c r="U405">
        <v>0.134180315062574</v>
      </c>
      <c r="V405" s="3">
        <v>-74056.184591496392</v>
      </c>
      <c r="W405">
        <v>37.734977272033362</v>
      </c>
      <c r="X405">
        <v>11.1195028839063</v>
      </c>
      <c r="Y405">
        <v>1.670285412956849</v>
      </c>
      <c r="Z405" s="5">
        <v>0.13059523536965079</v>
      </c>
      <c r="AA405">
        <v>8.5798633363474544</v>
      </c>
      <c r="AB405">
        <v>140.75320106210509</v>
      </c>
      <c r="AC405">
        <v>21.1428533285677</v>
      </c>
      <c r="AD405" s="5">
        <v>0.13059523536965079</v>
      </c>
      <c r="AE405">
        <v>108.6058650170564</v>
      </c>
      <c r="AF405">
        <v>16.313930037475071</v>
      </c>
      <c r="AG405">
        <v>1.2888004729605329</v>
      </c>
      <c r="AH405" t="str">
        <f t="shared" si="13"/>
        <v>False</v>
      </c>
      <c r="AI405">
        <v>0</v>
      </c>
    </row>
    <row r="406" spans="1:35" x14ac:dyDescent="0.35">
      <c r="A406" t="s">
        <v>491</v>
      </c>
      <c r="B406" t="s">
        <v>486</v>
      </c>
      <c r="C406" t="s">
        <v>63</v>
      </c>
      <c r="D406" t="s">
        <v>39</v>
      </c>
      <c r="E406" t="s">
        <v>52</v>
      </c>
      <c r="F406" t="s">
        <v>39</v>
      </c>
      <c r="G406" t="s">
        <v>35</v>
      </c>
      <c r="H406" t="s">
        <v>35</v>
      </c>
      <c r="I406" t="s">
        <v>37</v>
      </c>
      <c r="J406" t="s">
        <v>35</v>
      </c>
      <c r="K406" t="s">
        <v>35</v>
      </c>
      <c r="L406" t="s">
        <v>35</v>
      </c>
      <c r="M406" t="s">
        <v>37</v>
      </c>
      <c r="N406" t="s">
        <v>35</v>
      </c>
      <c r="O406" t="str">
        <f t="shared" si="14"/>
        <v>True</v>
      </c>
      <c r="P406" s="3">
        <v>356200.48513962573</v>
      </c>
      <c r="Q406" s="3">
        <v>0</v>
      </c>
      <c r="R406" s="3">
        <v>0</v>
      </c>
      <c r="S406" s="3">
        <v>23341.229597192909</v>
      </c>
      <c r="T406" s="3">
        <v>8633.2411449649662</v>
      </c>
      <c r="U406">
        <v>0.1227191292990321</v>
      </c>
      <c r="V406" s="3">
        <v>-183535.6622403264</v>
      </c>
      <c r="W406">
        <v>41.259184025847247</v>
      </c>
      <c r="X406">
        <v>9.3364918388771638</v>
      </c>
      <c r="Y406">
        <v>3.4532964579859868</v>
      </c>
      <c r="Z406" s="5">
        <v>0.27000419223772049</v>
      </c>
      <c r="AA406">
        <v>7.2040832090101574</v>
      </c>
      <c r="AB406">
        <v>118.18344099844511</v>
      </c>
      <c r="AC406">
        <v>43.712613392227681</v>
      </c>
      <c r="AD406" s="5">
        <v>0.2700041922377206</v>
      </c>
      <c r="AE406">
        <v>91.190926696331104</v>
      </c>
      <c r="AF406">
        <v>33.728868358200373</v>
      </c>
      <c r="AG406">
        <v>2.6645806002978301</v>
      </c>
      <c r="AH406" t="str">
        <f t="shared" si="13"/>
        <v>True</v>
      </c>
      <c r="AI406">
        <v>1</v>
      </c>
    </row>
    <row r="407" spans="1:35" x14ac:dyDescent="0.35">
      <c r="A407" t="s">
        <v>492</v>
      </c>
      <c r="B407" t="s">
        <v>486</v>
      </c>
      <c r="C407" t="s">
        <v>63</v>
      </c>
      <c r="D407" t="s">
        <v>39</v>
      </c>
      <c r="E407" t="s">
        <v>52</v>
      </c>
      <c r="F407" t="s">
        <v>39</v>
      </c>
      <c r="G407" t="s">
        <v>37</v>
      </c>
      <c r="H407" t="s">
        <v>35</v>
      </c>
      <c r="I407" t="s">
        <v>35</v>
      </c>
      <c r="J407" t="s">
        <v>35</v>
      </c>
      <c r="K407" t="s">
        <v>37</v>
      </c>
      <c r="L407" t="s">
        <v>35</v>
      </c>
      <c r="M407" t="s">
        <v>37</v>
      </c>
      <c r="N407" t="s">
        <v>35</v>
      </c>
      <c r="O407" t="str">
        <f t="shared" si="14"/>
        <v>True</v>
      </c>
      <c r="P407" s="3">
        <v>275781.31594995741</v>
      </c>
      <c r="Q407" s="3">
        <v>0</v>
      </c>
      <c r="R407" s="3">
        <v>0</v>
      </c>
      <c r="S407" s="3">
        <v>19107.44776389001</v>
      </c>
      <c r="T407" s="3">
        <v>12867.022978267871</v>
      </c>
      <c r="U407">
        <v>0.23623603074723731</v>
      </c>
      <c r="V407" s="3">
        <v>-18440.856384600051</v>
      </c>
      <c r="W407">
        <v>21.43318749144586</v>
      </c>
      <c r="X407">
        <v>7.6429791055560026</v>
      </c>
      <c r="Y407">
        <v>5.1468091913071481</v>
      </c>
      <c r="Z407" s="5">
        <v>0.40241551086263599</v>
      </c>
      <c r="AA407">
        <v>5.8973604209537056</v>
      </c>
      <c r="AB407">
        <v>96.746570956405094</v>
      </c>
      <c r="AC407">
        <v>65.149483434267694</v>
      </c>
      <c r="AD407" s="5">
        <v>0.40241551086263599</v>
      </c>
      <c r="AE407">
        <v>74.650131910806394</v>
      </c>
      <c r="AF407">
        <v>50.269663143725069</v>
      </c>
      <c r="AG407">
        <v>3.9713033883542819</v>
      </c>
      <c r="AH407" t="str">
        <f t="shared" si="13"/>
        <v>True</v>
      </c>
      <c r="AI407">
        <v>3</v>
      </c>
    </row>
    <row r="408" spans="1:35" x14ac:dyDescent="0.35">
      <c r="A408" t="s">
        <v>493</v>
      </c>
      <c r="B408" t="s">
        <v>486</v>
      </c>
      <c r="C408" t="s">
        <v>63</v>
      </c>
      <c r="D408" t="s">
        <v>39</v>
      </c>
      <c r="E408" t="s">
        <v>77</v>
      </c>
      <c r="F408" t="s">
        <v>39</v>
      </c>
      <c r="G408" t="s">
        <v>37</v>
      </c>
      <c r="H408" t="s">
        <v>35</v>
      </c>
      <c r="I408" t="s">
        <v>37</v>
      </c>
      <c r="J408" t="s">
        <v>35</v>
      </c>
      <c r="K408" t="s">
        <v>37</v>
      </c>
      <c r="L408" t="s">
        <v>35</v>
      </c>
      <c r="M408" t="s">
        <v>37</v>
      </c>
      <c r="N408" t="s">
        <v>35</v>
      </c>
      <c r="O408" t="str">
        <f t="shared" si="14"/>
        <v>True</v>
      </c>
      <c r="P408" s="3">
        <v>474411.34585024428</v>
      </c>
      <c r="Q408" s="3">
        <v>0</v>
      </c>
      <c r="R408" s="3">
        <v>0</v>
      </c>
      <c r="S408" s="3">
        <v>15028.158483000851</v>
      </c>
      <c r="T408" s="3">
        <v>16946.312259157021</v>
      </c>
      <c r="U408">
        <v>0.18086437741241959</v>
      </c>
      <c r="V408" s="3">
        <v>-135485.10066710389</v>
      </c>
      <c r="W408">
        <v>27.994960708569138</v>
      </c>
      <c r="X408">
        <v>6.0112633932003421</v>
      </c>
      <c r="Y408">
        <v>6.7785249036628086</v>
      </c>
      <c r="Z408" s="5">
        <v>0.52999508250854499</v>
      </c>
      <c r="AA408">
        <v>4.6383205194447079</v>
      </c>
      <c r="AB408">
        <v>76.091941686080276</v>
      </c>
      <c r="AC408">
        <v>85.804112704592512</v>
      </c>
      <c r="AD408" s="5">
        <v>0.52999508250854499</v>
      </c>
      <c r="AE408">
        <v>58.712917967654533</v>
      </c>
      <c r="AF408">
        <v>66.206877086876943</v>
      </c>
      <c r="AG408">
        <v>5.2303432898632796</v>
      </c>
      <c r="AH408" t="str">
        <f t="shared" si="13"/>
        <v>True</v>
      </c>
      <c r="AI408">
        <v>3</v>
      </c>
    </row>
    <row r="409" spans="1:35" x14ac:dyDescent="0.35">
      <c r="A409" t="s">
        <v>494</v>
      </c>
      <c r="B409" t="s">
        <v>486</v>
      </c>
      <c r="C409" t="s">
        <v>63</v>
      </c>
      <c r="D409" t="s">
        <v>39</v>
      </c>
      <c r="E409" t="s">
        <v>77</v>
      </c>
      <c r="F409" t="s">
        <v>39</v>
      </c>
      <c r="G409" t="s">
        <v>35</v>
      </c>
      <c r="H409" t="s">
        <v>37</v>
      </c>
      <c r="I409" t="s">
        <v>37</v>
      </c>
      <c r="J409" t="s">
        <v>35</v>
      </c>
      <c r="K409" t="s">
        <v>37</v>
      </c>
      <c r="L409" t="s">
        <v>35</v>
      </c>
      <c r="M409" t="s">
        <v>37</v>
      </c>
      <c r="N409" t="s">
        <v>35</v>
      </c>
      <c r="O409" t="str">
        <f t="shared" si="14"/>
        <v>True</v>
      </c>
      <c r="P409" s="3">
        <v>497584.84933861101</v>
      </c>
      <c r="Q409" s="3">
        <v>0</v>
      </c>
      <c r="R409" s="3">
        <v>0</v>
      </c>
      <c r="S409" s="3">
        <v>15087.34059549944</v>
      </c>
      <c r="T409" s="3">
        <v>16887.13014665843</v>
      </c>
      <c r="U409">
        <v>0.17183894676943889</v>
      </c>
      <c r="V409" s="3">
        <v>-159842.24640544239</v>
      </c>
      <c r="W409">
        <v>29.465329219190711</v>
      </c>
      <c r="X409">
        <v>6.0349362381997773</v>
      </c>
      <c r="Y409">
        <v>6.7548520586633733</v>
      </c>
      <c r="Z409" s="5">
        <v>0.52814416485064741</v>
      </c>
      <c r="AA409">
        <v>4.6565866035492114</v>
      </c>
      <c r="AB409">
        <v>76.391597951895918</v>
      </c>
      <c r="AC409">
        <v>85.50445643877687</v>
      </c>
      <c r="AD409" s="5">
        <v>0.52814416485064741</v>
      </c>
      <c r="AE409">
        <v>58.944134222141912</v>
      </c>
      <c r="AF409">
        <v>65.975660832389565</v>
      </c>
      <c r="AG409">
        <v>5.212077205758777</v>
      </c>
      <c r="AH409" t="str">
        <f t="shared" si="13"/>
        <v>True</v>
      </c>
      <c r="AI409">
        <v>3</v>
      </c>
    </row>
    <row r="410" spans="1:35" x14ac:dyDescent="0.35">
      <c r="A410" t="s">
        <v>495</v>
      </c>
      <c r="B410" t="s">
        <v>486</v>
      </c>
      <c r="C410" t="s">
        <v>63</v>
      </c>
      <c r="D410" t="s">
        <v>39</v>
      </c>
      <c r="E410" t="s">
        <v>52</v>
      </c>
      <c r="F410" t="s">
        <v>39</v>
      </c>
      <c r="G410" t="s">
        <v>35</v>
      </c>
      <c r="H410" t="s">
        <v>37</v>
      </c>
      <c r="I410" t="s">
        <v>35</v>
      </c>
      <c r="J410" t="s">
        <v>35</v>
      </c>
      <c r="K410" t="s">
        <v>37</v>
      </c>
      <c r="L410" t="s">
        <v>35</v>
      </c>
      <c r="M410" t="s">
        <v>37</v>
      </c>
      <c r="N410" t="s">
        <v>35</v>
      </c>
      <c r="O410" t="str">
        <f t="shared" si="14"/>
        <v>True</v>
      </c>
      <c r="P410" s="3">
        <v>298954.81943832408</v>
      </c>
      <c r="Q410" s="3">
        <v>0</v>
      </c>
      <c r="R410" s="3">
        <v>0</v>
      </c>
      <c r="S410" s="3">
        <v>19200.956378337909</v>
      </c>
      <c r="T410" s="3">
        <v>12773.51436381997</v>
      </c>
      <c r="U410">
        <v>0.21634045645025629</v>
      </c>
      <c r="V410" s="3">
        <v>-43484.532161924697</v>
      </c>
      <c r="W410">
        <v>23.404273164250821</v>
      </c>
      <c r="X410">
        <v>7.6803825513351622</v>
      </c>
      <c r="Y410">
        <v>5.1094057455279884</v>
      </c>
      <c r="Z410" s="5">
        <v>0.39949103354440452</v>
      </c>
      <c r="AA410">
        <v>5.9262211044252791</v>
      </c>
      <c r="AB410">
        <v>97.220032295381799</v>
      </c>
      <c r="AC410">
        <v>64.676022095290989</v>
      </c>
      <c r="AD410" s="5">
        <v>0.39949103354440452</v>
      </c>
      <c r="AE410">
        <v>75.015457018041502</v>
      </c>
      <c r="AF410">
        <v>49.90433803648996</v>
      </c>
      <c r="AG410">
        <v>3.942442704882708</v>
      </c>
      <c r="AH410" t="str">
        <f t="shared" si="13"/>
        <v>False</v>
      </c>
      <c r="AI410">
        <v>3</v>
      </c>
    </row>
    <row r="411" spans="1:35" x14ac:dyDescent="0.35">
      <c r="A411" t="s">
        <v>496</v>
      </c>
      <c r="B411" t="s">
        <v>486</v>
      </c>
      <c r="C411" t="s">
        <v>63</v>
      </c>
      <c r="D411" t="s">
        <v>39</v>
      </c>
      <c r="E411" t="s">
        <v>52</v>
      </c>
      <c r="F411" t="s">
        <v>39</v>
      </c>
      <c r="G411" t="s">
        <v>37</v>
      </c>
      <c r="H411" t="s">
        <v>35</v>
      </c>
      <c r="I411" t="s">
        <v>37</v>
      </c>
      <c r="J411" t="s">
        <v>35</v>
      </c>
      <c r="K411" t="s">
        <v>35</v>
      </c>
      <c r="L411" t="s">
        <v>35</v>
      </c>
      <c r="M411" t="s">
        <v>37</v>
      </c>
      <c r="N411" t="s">
        <v>35</v>
      </c>
      <c r="O411" t="str">
        <f t="shared" si="14"/>
        <v>True</v>
      </c>
      <c r="P411" s="3">
        <v>372752.9876313163</v>
      </c>
      <c r="Q411" s="3">
        <v>0</v>
      </c>
      <c r="R411" s="3">
        <v>0</v>
      </c>
      <c r="S411" s="3">
        <v>20774.068469450762</v>
      </c>
      <c r="T411" s="3">
        <v>11200.402272707121</v>
      </c>
      <c r="U411">
        <v>0.15214069226835811</v>
      </c>
      <c r="V411" s="3">
        <v>-148744.94217717391</v>
      </c>
      <c r="W411">
        <v>33.280321416636269</v>
      </c>
      <c r="X411">
        <v>8.3096273877803029</v>
      </c>
      <c r="Y411">
        <v>4.4801609090828478</v>
      </c>
      <c r="Z411" s="5">
        <v>0.35029203025836331</v>
      </c>
      <c r="AA411">
        <v>6.4117495276082588</v>
      </c>
      <c r="AB411">
        <v>105.18515680734561</v>
      </c>
      <c r="AC411">
        <v>56.710897583327181</v>
      </c>
      <c r="AD411" s="5">
        <v>0.35029203025836331</v>
      </c>
      <c r="AE411">
        <v>81.161386425420986</v>
      </c>
      <c r="AF411">
        <v>43.758408629110477</v>
      </c>
      <c r="AG411">
        <v>3.4569142816997291</v>
      </c>
      <c r="AH411" t="str">
        <f t="shared" si="13"/>
        <v>True</v>
      </c>
      <c r="AI411">
        <v>1</v>
      </c>
    </row>
    <row r="412" spans="1:35" x14ac:dyDescent="0.35">
      <c r="A412" t="s">
        <v>497</v>
      </c>
      <c r="B412" t="s">
        <v>498</v>
      </c>
      <c r="C412" t="s">
        <v>232</v>
      </c>
      <c r="D412" t="s">
        <v>39</v>
      </c>
      <c r="E412" t="s">
        <v>52</v>
      </c>
      <c r="F412" t="s">
        <v>39</v>
      </c>
      <c r="G412" t="s">
        <v>35</v>
      </c>
      <c r="H412" t="s">
        <v>35</v>
      </c>
      <c r="I412" t="s">
        <v>35</v>
      </c>
      <c r="J412" t="s">
        <v>35</v>
      </c>
      <c r="K412" t="s">
        <v>35</v>
      </c>
      <c r="L412" t="s">
        <v>35</v>
      </c>
      <c r="M412" t="s">
        <v>35</v>
      </c>
      <c r="N412" t="s">
        <v>35</v>
      </c>
      <c r="O412" t="str">
        <f t="shared" si="14"/>
        <v>False</v>
      </c>
      <c r="P412" s="3">
        <v>0</v>
      </c>
      <c r="Q412" s="3">
        <v>0</v>
      </c>
      <c r="R412" s="3">
        <v>0</v>
      </c>
      <c r="S412" s="3">
        <v>46842.562916018724</v>
      </c>
      <c r="T412" s="3">
        <v>0</v>
      </c>
      <c r="U412">
        <v>0</v>
      </c>
      <c r="V412" s="3">
        <v>0</v>
      </c>
      <c r="W412">
        <v>0</v>
      </c>
      <c r="X412">
        <v>18.737025166407491</v>
      </c>
      <c r="Y412">
        <v>3.5527136788005009E-15</v>
      </c>
      <c r="Z412" s="5">
        <v>1.8960927080196021E-16</v>
      </c>
      <c r="AA412">
        <v>5.0846744006533218</v>
      </c>
      <c r="AB412">
        <v>237.17753375199351</v>
      </c>
      <c r="AC412">
        <v>0</v>
      </c>
      <c r="AD412" s="5">
        <v>0</v>
      </c>
      <c r="AE412">
        <v>64.362967096877469</v>
      </c>
      <c r="AF412">
        <v>0</v>
      </c>
      <c r="AG412">
        <v>0</v>
      </c>
      <c r="AH412" t="str">
        <f t="shared" si="13"/>
        <v>False</v>
      </c>
      <c r="AI412">
        <v>0</v>
      </c>
    </row>
    <row r="413" spans="1:35" x14ac:dyDescent="0.35">
      <c r="A413" t="s">
        <v>499</v>
      </c>
      <c r="B413" t="s">
        <v>498</v>
      </c>
      <c r="C413" t="s">
        <v>232</v>
      </c>
      <c r="D413" t="s">
        <v>39</v>
      </c>
      <c r="E413" t="s">
        <v>52</v>
      </c>
      <c r="F413" t="s">
        <v>39</v>
      </c>
      <c r="G413" t="s">
        <v>37</v>
      </c>
      <c r="H413" t="s">
        <v>35</v>
      </c>
      <c r="I413" t="s">
        <v>35</v>
      </c>
      <c r="J413" t="s">
        <v>35</v>
      </c>
      <c r="K413" t="s">
        <v>35</v>
      </c>
      <c r="L413" t="s">
        <v>35</v>
      </c>
      <c r="M413" t="s">
        <v>37</v>
      </c>
      <c r="N413" t="s">
        <v>35</v>
      </c>
      <c r="O413" t="str">
        <f t="shared" si="14"/>
        <v>True</v>
      </c>
      <c r="P413" s="3">
        <v>166915.41610680911</v>
      </c>
      <c r="Q413" s="3">
        <v>0</v>
      </c>
      <c r="R413" s="3">
        <v>0</v>
      </c>
      <c r="S413" s="3">
        <v>35907.571891490486</v>
      </c>
      <c r="T413" s="3">
        <v>10934.991024528221</v>
      </c>
      <c r="U413">
        <v>0.33170718711049951</v>
      </c>
      <c r="V413" s="3">
        <v>51784.404383755347</v>
      </c>
      <c r="W413">
        <v>15.26433956209036</v>
      </c>
      <c r="X413">
        <v>14.363028756596201</v>
      </c>
      <c r="Y413">
        <v>4.3739964098112916</v>
      </c>
      <c r="Z413" s="5">
        <v>0.2334413478641835</v>
      </c>
      <c r="AA413">
        <v>3.897701155114301</v>
      </c>
      <c r="AB413">
        <v>181.81049058982529</v>
      </c>
      <c r="AC413">
        <v>55.367043162168223</v>
      </c>
      <c r="AD413" s="5">
        <v>0.23344134786418341</v>
      </c>
      <c r="AE413">
        <v>49.337989305244307</v>
      </c>
      <c r="AF413">
        <v>15.024977791633169</v>
      </c>
      <c r="AG413">
        <v>1.1869732455390209</v>
      </c>
      <c r="AH413" t="str">
        <f t="shared" si="13"/>
        <v>True</v>
      </c>
      <c r="AI413">
        <v>3</v>
      </c>
    </row>
    <row r="414" spans="1:35" x14ac:dyDescent="0.35">
      <c r="A414" t="s">
        <v>500</v>
      </c>
      <c r="B414" t="s">
        <v>498</v>
      </c>
      <c r="C414" t="s">
        <v>232</v>
      </c>
      <c r="D414" t="s">
        <v>39</v>
      </c>
      <c r="E414" t="s">
        <v>52</v>
      </c>
      <c r="F414" t="s">
        <v>39</v>
      </c>
      <c r="G414" t="s">
        <v>35</v>
      </c>
      <c r="H414" t="s">
        <v>37</v>
      </c>
      <c r="I414" t="s">
        <v>35</v>
      </c>
      <c r="J414" t="s">
        <v>35</v>
      </c>
      <c r="K414" t="s">
        <v>35</v>
      </c>
      <c r="L414" t="s">
        <v>35</v>
      </c>
      <c r="M414" t="s">
        <v>37</v>
      </c>
      <c r="N414" t="s">
        <v>35</v>
      </c>
      <c r="O414" t="str">
        <f t="shared" si="14"/>
        <v>True</v>
      </c>
      <c r="P414" s="3">
        <v>241063.58434726571</v>
      </c>
      <c r="Q414" s="3">
        <v>0</v>
      </c>
      <c r="R414" s="3">
        <v>0</v>
      </c>
      <c r="S414" s="3">
        <v>35821.542809864302</v>
      </c>
      <c r="T414" s="3">
        <v>11021.020106154419</v>
      </c>
      <c r="U414">
        <v>0.23148512289809919</v>
      </c>
      <c r="V414" s="3">
        <v>-20643.18222417741</v>
      </c>
      <c r="W414">
        <v>21.87307363795205</v>
      </c>
      <c r="X414">
        <v>14.328617123945721</v>
      </c>
      <c r="Y414">
        <v>4.4084080424617706</v>
      </c>
      <c r="Z414" s="5">
        <v>0.235277905820682</v>
      </c>
      <c r="AA414">
        <v>3.8883628558875771</v>
      </c>
      <c r="AB414">
        <v>181.37490030311039</v>
      </c>
      <c r="AC414">
        <v>55.802633448883107</v>
      </c>
      <c r="AD414" s="5">
        <v>0.23527790582068181</v>
      </c>
      <c r="AE414">
        <v>49.219782985918698</v>
      </c>
      <c r="AF414">
        <v>15.14318411095878</v>
      </c>
      <c r="AG414">
        <v>1.1963115447657451</v>
      </c>
      <c r="AH414" t="str">
        <f t="shared" si="13"/>
        <v>False</v>
      </c>
      <c r="AI414">
        <v>3</v>
      </c>
    </row>
    <row r="415" spans="1:35" x14ac:dyDescent="0.35">
      <c r="A415" t="s">
        <v>501</v>
      </c>
      <c r="B415" t="s">
        <v>498</v>
      </c>
      <c r="C415" t="s">
        <v>232</v>
      </c>
      <c r="D415" t="s">
        <v>39</v>
      </c>
      <c r="E415" t="s">
        <v>52</v>
      </c>
      <c r="F415" t="s">
        <v>39</v>
      </c>
      <c r="G415" t="s">
        <v>35</v>
      </c>
      <c r="H415" t="s">
        <v>35</v>
      </c>
      <c r="I415" t="s">
        <v>35</v>
      </c>
      <c r="J415" t="s">
        <v>35</v>
      </c>
      <c r="K415" t="s">
        <v>35</v>
      </c>
      <c r="L415" t="s">
        <v>37</v>
      </c>
      <c r="M415" t="s">
        <v>37</v>
      </c>
      <c r="N415" t="s">
        <v>35</v>
      </c>
      <c r="O415" t="str">
        <f t="shared" si="14"/>
        <v>True</v>
      </c>
      <c r="P415" s="3">
        <v>293746.19691136183</v>
      </c>
      <c r="Q415" s="3">
        <v>0</v>
      </c>
      <c r="R415" s="3">
        <v>0</v>
      </c>
      <c r="S415" s="3">
        <v>33953.354906449713</v>
      </c>
      <c r="T415" s="3">
        <v>12889.208009569011</v>
      </c>
      <c r="U415">
        <v>0.22217074941865991</v>
      </c>
      <c r="V415" s="3">
        <v>-35962.036719981726</v>
      </c>
      <c r="W415">
        <v>22.7900889405527</v>
      </c>
      <c r="X415">
        <v>13.581341962579881</v>
      </c>
      <c r="Y415">
        <v>5.155683203827607</v>
      </c>
      <c r="Z415" s="5">
        <v>0.27516017927279768</v>
      </c>
      <c r="AA415">
        <v>3.6855744810257489</v>
      </c>
      <c r="AB415">
        <v>171.915721045315</v>
      </c>
      <c r="AC415">
        <v>65.261812706678512</v>
      </c>
      <c r="AD415" s="5">
        <v>0.27516017927279751</v>
      </c>
      <c r="AE415">
        <v>46.652841531971497</v>
      </c>
      <c r="AF415">
        <v>17.710125564905969</v>
      </c>
      <c r="AG415">
        <v>1.3990999196275731</v>
      </c>
      <c r="AH415" t="str">
        <f t="shared" si="13"/>
        <v>False</v>
      </c>
      <c r="AI415">
        <v>3</v>
      </c>
    </row>
    <row r="416" spans="1:35" x14ac:dyDescent="0.35">
      <c r="A416" t="s">
        <v>502</v>
      </c>
      <c r="B416" t="s">
        <v>498</v>
      </c>
      <c r="C416" t="s">
        <v>232</v>
      </c>
      <c r="D416" t="s">
        <v>39</v>
      </c>
      <c r="E416" t="s">
        <v>52</v>
      </c>
      <c r="F416" t="s">
        <v>39</v>
      </c>
      <c r="G416" t="s">
        <v>35</v>
      </c>
      <c r="H416" t="s">
        <v>35</v>
      </c>
      <c r="I416" t="s">
        <v>37</v>
      </c>
      <c r="J416" t="s">
        <v>35</v>
      </c>
      <c r="K416" t="s">
        <v>35</v>
      </c>
      <c r="L416" t="s">
        <v>35</v>
      </c>
      <c r="M416" t="s">
        <v>37</v>
      </c>
      <c r="N416" t="s">
        <v>35</v>
      </c>
      <c r="O416" t="str">
        <f t="shared" si="14"/>
        <v>True</v>
      </c>
      <c r="P416" s="3">
        <v>308150.0222791073</v>
      </c>
      <c r="Q416" s="3">
        <v>0</v>
      </c>
      <c r="R416" s="3">
        <v>0</v>
      </c>
      <c r="S416" s="3">
        <v>39483.615070080203</v>
      </c>
      <c r="T416" s="3">
        <v>7358.9478459385145</v>
      </c>
      <c r="U416">
        <v>0.1209167377204495</v>
      </c>
      <c r="V416" s="3">
        <v>-160971.065360337</v>
      </c>
      <c r="W416">
        <v>41.874195704373513</v>
      </c>
      <c r="X416">
        <v>15.793446028032079</v>
      </c>
      <c r="Y416">
        <v>2.94357913837541</v>
      </c>
      <c r="Z416" s="5">
        <v>0.157099598908197</v>
      </c>
      <c r="AA416">
        <v>4.285874091731908</v>
      </c>
      <c r="AB416">
        <v>199.91703832952001</v>
      </c>
      <c r="AC416">
        <v>37.260495422473497</v>
      </c>
      <c r="AD416" s="5">
        <v>0.1570995989081968</v>
      </c>
      <c r="AE416">
        <v>54.251570781416547</v>
      </c>
      <c r="AF416">
        <v>10.111396315460921</v>
      </c>
      <c r="AG416">
        <v>0.79880030892141374</v>
      </c>
      <c r="AH416" t="str">
        <f t="shared" si="13"/>
        <v>True</v>
      </c>
      <c r="AI416">
        <v>1</v>
      </c>
    </row>
    <row r="417" spans="1:35" x14ac:dyDescent="0.35">
      <c r="A417" t="s">
        <v>503</v>
      </c>
      <c r="B417" t="s">
        <v>498</v>
      </c>
      <c r="C417" t="s">
        <v>232</v>
      </c>
      <c r="D417" t="s">
        <v>39</v>
      </c>
      <c r="E417" t="s">
        <v>77</v>
      </c>
      <c r="F417" t="s">
        <v>39</v>
      </c>
      <c r="G417" t="s">
        <v>37</v>
      </c>
      <c r="H417" t="s">
        <v>35</v>
      </c>
      <c r="I417" t="s">
        <v>35</v>
      </c>
      <c r="J417" t="s">
        <v>35</v>
      </c>
      <c r="K417" t="s">
        <v>35</v>
      </c>
      <c r="L417" t="s">
        <v>37</v>
      </c>
      <c r="M417" t="s">
        <v>37</v>
      </c>
      <c r="N417" t="s">
        <v>35</v>
      </c>
      <c r="O417" t="str">
        <f t="shared" si="14"/>
        <v>True</v>
      </c>
      <c r="P417" s="3">
        <v>346709.17422597372</v>
      </c>
      <c r="Q417" s="3">
        <v>0</v>
      </c>
      <c r="R417" s="3">
        <v>0</v>
      </c>
      <c r="S417" s="3">
        <v>29246.916121782189</v>
      </c>
      <c r="T417" s="3">
        <v>17595.646794236531</v>
      </c>
      <c r="U417">
        <v>0.25696430647201812</v>
      </c>
      <c r="V417" s="3">
        <v>5203.7616587568191</v>
      </c>
      <c r="W417">
        <v>19.704258574884481</v>
      </c>
      <c r="X417">
        <v>11.698766448712879</v>
      </c>
      <c r="Y417">
        <v>7.0382587176946139</v>
      </c>
      <c r="Z417" s="5">
        <v>0.3756337334868447</v>
      </c>
      <c r="AA417">
        <v>3.1746991719709299</v>
      </c>
      <c r="AB417">
        <v>148.08565124953009</v>
      </c>
      <c r="AC417">
        <v>89.09188250246342</v>
      </c>
      <c r="AD417" s="5">
        <v>0.37563373348684459</v>
      </c>
      <c r="AE417">
        <v>40.186065467986452</v>
      </c>
      <c r="AF417">
        <v>24.17690162889102</v>
      </c>
      <c r="AG417">
        <v>1.9099752286823919</v>
      </c>
      <c r="AH417" t="str">
        <f t="shared" si="13"/>
        <v>True</v>
      </c>
      <c r="AI417">
        <v>3</v>
      </c>
    </row>
    <row r="418" spans="1:35" x14ac:dyDescent="0.35">
      <c r="A418" t="s">
        <v>504</v>
      </c>
      <c r="B418" t="s">
        <v>498</v>
      </c>
      <c r="C418" t="s">
        <v>232</v>
      </c>
      <c r="D418" t="s">
        <v>39</v>
      </c>
      <c r="E418" t="s">
        <v>52</v>
      </c>
      <c r="F418" t="s">
        <v>39</v>
      </c>
      <c r="G418" t="s">
        <v>37</v>
      </c>
      <c r="H418" t="s">
        <v>35</v>
      </c>
      <c r="I418" t="s">
        <v>37</v>
      </c>
      <c r="J418" t="s">
        <v>35</v>
      </c>
      <c r="K418" t="s">
        <v>35</v>
      </c>
      <c r="L418" t="s">
        <v>35</v>
      </c>
      <c r="M418" t="s">
        <v>37</v>
      </c>
      <c r="N418" t="s">
        <v>35</v>
      </c>
      <c r="O418" t="str">
        <f t="shared" si="14"/>
        <v>True</v>
      </c>
      <c r="P418" s="3">
        <v>361112.99959371908</v>
      </c>
      <c r="Q418" s="3">
        <v>0</v>
      </c>
      <c r="R418" s="3">
        <v>0</v>
      </c>
      <c r="S418" s="3">
        <v>34579.758684007487</v>
      </c>
      <c r="T418" s="3">
        <v>12262.80423201122</v>
      </c>
      <c r="U418">
        <v>0.17194104914539149</v>
      </c>
      <c r="V418" s="3">
        <v>-115856.9149534946</v>
      </c>
      <c r="W418">
        <v>29.447832058760099</v>
      </c>
      <c r="X418">
        <v>13.831903473603001</v>
      </c>
      <c r="Y418">
        <v>4.9051216928044941</v>
      </c>
      <c r="Z418" s="5">
        <v>0.26178764500987051</v>
      </c>
      <c r="AA418">
        <v>3.7535694636643142</v>
      </c>
      <c r="AB418">
        <v>175.0873857418101</v>
      </c>
      <c r="AC418">
        <v>62.090148010183412</v>
      </c>
      <c r="AD418" s="5">
        <v>0.26178764500987028</v>
      </c>
      <c r="AE418">
        <v>47.513537514738147</v>
      </c>
      <c r="AF418">
        <v>16.849429582139329</v>
      </c>
      <c r="AG418">
        <v>1.331104936989008</v>
      </c>
      <c r="AH418" t="str">
        <f t="shared" si="13"/>
        <v>True</v>
      </c>
      <c r="AI418">
        <v>3</v>
      </c>
    </row>
    <row r="419" spans="1:35" x14ac:dyDescent="0.35">
      <c r="A419" t="s">
        <v>505</v>
      </c>
      <c r="B419" t="s">
        <v>498</v>
      </c>
      <c r="C419" t="s">
        <v>232</v>
      </c>
      <c r="D419" t="s">
        <v>39</v>
      </c>
      <c r="E419" t="s">
        <v>52</v>
      </c>
      <c r="F419" t="s">
        <v>39</v>
      </c>
      <c r="G419" t="s">
        <v>35</v>
      </c>
      <c r="H419" t="s">
        <v>35</v>
      </c>
      <c r="I419" t="s">
        <v>37</v>
      </c>
      <c r="J419" t="s">
        <v>35</v>
      </c>
      <c r="K419" t="s">
        <v>35</v>
      </c>
      <c r="L419" t="s">
        <v>37</v>
      </c>
      <c r="M419" t="s">
        <v>37</v>
      </c>
      <c r="N419" t="s">
        <v>35</v>
      </c>
      <c r="O419" t="str">
        <f t="shared" si="14"/>
        <v>True</v>
      </c>
      <c r="P419" s="3">
        <v>487943.78039827192</v>
      </c>
      <c r="Q419" s="3">
        <v>0</v>
      </c>
      <c r="R419" s="3">
        <v>0</v>
      </c>
      <c r="S419" s="3">
        <v>32636.289745261489</v>
      </c>
      <c r="T419" s="3">
        <v>14206.273170757229</v>
      </c>
      <c r="U419">
        <v>0.14741554243895419</v>
      </c>
      <c r="V419" s="3">
        <v>-203818.31698312741</v>
      </c>
      <c r="W419">
        <v>34.347064464639139</v>
      </c>
      <c r="X419">
        <v>13.054515898104601</v>
      </c>
      <c r="Y419">
        <v>5.6825092683028959</v>
      </c>
      <c r="Z419" s="5">
        <v>0.30327702598653339</v>
      </c>
      <c r="AA419">
        <v>3.5426094703133231</v>
      </c>
      <c r="AB419">
        <v>165.24703668486831</v>
      </c>
      <c r="AC419">
        <v>71.930497067125202</v>
      </c>
      <c r="AD419" s="5">
        <v>0.30327702598653328</v>
      </c>
      <c r="AE419">
        <v>44.843157852067392</v>
      </c>
      <c r="AF419">
        <v>19.519809244810101</v>
      </c>
      <c r="AG419">
        <v>1.5420649303399989</v>
      </c>
      <c r="AH419" t="str">
        <f t="shared" si="13"/>
        <v>True</v>
      </c>
      <c r="AI419">
        <v>3</v>
      </c>
    </row>
    <row r="420" spans="1:35" x14ac:dyDescent="0.35">
      <c r="A420" t="s">
        <v>506</v>
      </c>
      <c r="B420" t="s">
        <v>498</v>
      </c>
      <c r="C420" t="s">
        <v>232</v>
      </c>
      <c r="D420" t="s">
        <v>39</v>
      </c>
      <c r="E420" t="s">
        <v>77</v>
      </c>
      <c r="F420" t="s">
        <v>39</v>
      </c>
      <c r="G420" t="s">
        <v>35</v>
      </c>
      <c r="H420" t="s">
        <v>37</v>
      </c>
      <c r="I420" t="s">
        <v>35</v>
      </c>
      <c r="J420" t="s">
        <v>35</v>
      </c>
      <c r="K420" t="s">
        <v>35</v>
      </c>
      <c r="L420" t="s">
        <v>37</v>
      </c>
      <c r="M420" t="s">
        <v>37</v>
      </c>
      <c r="N420" t="s">
        <v>35</v>
      </c>
      <c r="O420" t="str">
        <f t="shared" si="14"/>
        <v>True</v>
      </c>
      <c r="P420" s="3">
        <v>420857.34246643021</v>
      </c>
      <c r="Q420" s="3">
        <v>0</v>
      </c>
      <c r="R420" s="3">
        <v>0</v>
      </c>
      <c r="S420" s="3">
        <v>29171.30074118184</v>
      </c>
      <c r="T420" s="3">
        <v>17671.26217483688</v>
      </c>
      <c r="U420">
        <v>0.21260112670170289</v>
      </c>
      <c r="V420" s="3">
        <v>-67432.098969692597</v>
      </c>
      <c r="W420">
        <v>23.815918653830678</v>
      </c>
      <c r="X420">
        <v>11.668520296472741</v>
      </c>
      <c r="Y420">
        <v>7.0685048699347561</v>
      </c>
      <c r="Z420" s="5">
        <v>0.3772479786496451</v>
      </c>
      <c r="AA420">
        <v>3.1664912609152611</v>
      </c>
      <c r="AB420">
        <v>147.70278856294601</v>
      </c>
      <c r="AC420">
        <v>89.474745189047496</v>
      </c>
      <c r="AD420" s="5">
        <v>0.37724797864964499</v>
      </c>
      <c r="AE420">
        <v>40.082167859686841</v>
      </c>
      <c r="AF420">
        <v>24.280799237190639</v>
      </c>
      <c r="AG420">
        <v>1.9181831397380611</v>
      </c>
      <c r="AH420" t="str">
        <f t="shared" si="13"/>
        <v>False</v>
      </c>
      <c r="AI420">
        <v>3</v>
      </c>
    </row>
    <row r="421" spans="1:35" x14ac:dyDescent="0.35">
      <c r="A421" t="s">
        <v>507</v>
      </c>
      <c r="B421" t="s">
        <v>498</v>
      </c>
      <c r="C421" t="s">
        <v>232</v>
      </c>
      <c r="D421" t="s">
        <v>39</v>
      </c>
      <c r="E421" t="s">
        <v>52</v>
      </c>
      <c r="F421" t="s">
        <v>39</v>
      </c>
      <c r="G421" t="s">
        <v>35</v>
      </c>
      <c r="H421" t="s">
        <v>37</v>
      </c>
      <c r="I421" t="s">
        <v>37</v>
      </c>
      <c r="J421" t="s">
        <v>35</v>
      </c>
      <c r="K421" t="s">
        <v>35</v>
      </c>
      <c r="L421" t="s">
        <v>35</v>
      </c>
      <c r="M421" t="s">
        <v>37</v>
      </c>
      <c r="N421" t="s">
        <v>35</v>
      </c>
      <c r="O421" t="str">
        <f t="shared" si="14"/>
        <v>True</v>
      </c>
      <c r="P421" s="3">
        <v>435261.16783417569</v>
      </c>
      <c r="Q421" s="3">
        <v>0</v>
      </c>
      <c r="R421" s="3">
        <v>0</v>
      </c>
      <c r="S421" s="3">
        <v>34514.665730473753</v>
      </c>
      <c r="T421" s="3">
        <v>12327.897185544971</v>
      </c>
      <c r="U421">
        <v>0.1434075382732472</v>
      </c>
      <c r="V421" s="3">
        <v>-188703.2241232763</v>
      </c>
      <c r="W421">
        <v>35.307008266141253</v>
      </c>
      <c r="X421">
        <v>13.805866292189499</v>
      </c>
      <c r="Y421">
        <v>4.9311588742179921</v>
      </c>
      <c r="Z421" s="5">
        <v>0.2631772562839258</v>
      </c>
      <c r="AA421">
        <v>3.7465037427922661</v>
      </c>
      <c r="AB421">
        <v>174.75780116695569</v>
      </c>
      <c r="AC421">
        <v>62.419732585037821</v>
      </c>
      <c r="AD421" s="5">
        <v>0.26317725628392558</v>
      </c>
      <c r="AE421">
        <v>47.424098010028679</v>
      </c>
      <c r="AF421">
        <v>16.938869086848801</v>
      </c>
      <c r="AG421">
        <v>1.3381706578610559</v>
      </c>
      <c r="AH421" t="str">
        <f t="shared" si="13"/>
        <v>True</v>
      </c>
      <c r="AI421">
        <v>3</v>
      </c>
    </row>
    <row r="422" spans="1:35" x14ac:dyDescent="0.35">
      <c r="A422" t="s">
        <v>508</v>
      </c>
      <c r="B422" t="s">
        <v>498</v>
      </c>
      <c r="C422" t="s">
        <v>232</v>
      </c>
      <c r="D422" t="s">
        <v>52</v>
      </c>
      <c r="E422" t="s">
        <v>77</v>
      </c>
      <c r="F422" t="s">
        <v>52</v>
      </c>
      <c r="G422" t="s">
        <v>37</v>
      </c>
      <c r="H422" t="s">
        <v>35</v>
      </c>
      <c r="I422" t="s">
        <v>37</v>
      </c>
      <c r="J422" t="s">
        <v>35</v>
      </c>
      <c r="K422" t="s">
        <v>35</v>
      </c>
      <c r="L422" t="s">
        <v>37</v>
      </c>
      <c r="M422" t="s">
        <v>37</v>
      </c>
      <c r="N422" t="s">
        <v>35</v>
      </c>
      <c r="O422" t="str">
        <f t="shared" si="14"/>
        <v>True</v>
      </c>
      <c r="P422" s="3">
        <v>540906.75771288376</v>
      </c>
      <c r="Q422" s="3">
        <v>0</v>
      </c>
      <c r="R422" s="3">
        <v>0</v>
      </c>
      <c r="S422" s="3">
        <v>28014.652119053331</v>
      </c>
      <c r="T422" s="3">
        <v>18827.910796965389</v>
      </c>
      <c r="U422">
        <v>0.1762433035811467</v>
      </c>
      <c r="V422" s="3">
        <v>-164348.541773576</v>
      </c>
      <c r="W422">
        <v>28.7289845137818</v>
      </c>
      <c r="X422">
        <v>11.205860847621331</v>
      </c>
      <c r="Y422">
        <v>7.5311643187861614</v>
      </c>
      <c r="Z422" s="5">
        <v>0.40194023607804841</v>
      </c>
      <c r="AA422">
        <v>3.0409391716747169</v>
      </c>
      <c r="AB422">
        <v>141.84633984330799</v>
      </c>
      <c r="AC422">
        <v>95.33119390868552</v>
      </c>
      <c r="AD422" s="5">
        <v>0.40194023607804819</v>
      </c>
      <c r="AE422">
        <v>38.492900907274901</v>
      </c>
      <c r="AF422">
        <v>25.870066189602589</v>
      </c>
      <c r="AG422">
        <v>2.0437352289786048</v>
      </c>
      <c r="AH422" t="str">
        <f t="shared" si="13"/>
        <v>True</v>
      </c>
      <c r="AI422">
        <v>3</v>
      </c>
    </row>
    <row r="423" spans="1:35" x14ac:dyDescent="0.35">
      <c r="A423" t="s">
        <v>509</v>
      </c>
      <c r="B423" t="s">
        <v>510</v>
      </c>
      <c r="C423" t="s">
        <v>63</v>
      </c>
      <c r="D423" t="s">
        <v>39</v>
      </c>
      <c r="E423" t="s">
        <v>39</v>
      </c>
      <c r="F423" t="s">
        <v>39</v>
      </c>
      <c r="G423" t="s">
        <v>35</v>
      </c>
      <c r="H423" t="s">
        <v>35</v>
      </c>
      <c r="I423" t="s">
        <v>35</v>
      </c>
      <c r="J423" t="s">
        <v>35</v>
      </c>
      <c r="K423" t="s">
        <v>35</v>
      </c>
      <c r="L423" t="s">
        <v>35</v>
      </c>
      <c r="M423" t="s">
        <v>35</v>
      </c>
      <c r="N423" t="s">
        <v>35</v>
      </c>
      <c r="O423" t="str">
        <f t="shared" si="14"/>
        <v>False</v>
      </c>
      <c r="P423" s="3">
        <v>0</v>
      </c>
      <c r="Q423" s="3">
        <v>9291.0239999999994</v>
      </c>
      <c r="R423" s="3">
        <v>0</v>
      </c>
      <c r="S423" s="3">
        <v>15473.0996769015</v>
      </c>
      <c r="T423" s="3">
        <v>0</v>
      </c>
      <c r="U423">
        <v>0</v>
      </c>
      <c r="V423" s="3">
        <v>0</v>
      </c>
      <c r="W423">
        <v>0</v>
      </c>
      <c r="X423">
        <v>29.49863690103599</v>
      </c>
      <c r="Y423">
        <v>-3.5527136788005009E-15</v>
      </c>
      <c r="Z423" s="5">
        <v>-1.204365371430342E-16</v>
      </c>
      <c r="AA423">
        <v>23.282270640123119</v>
      </c>
      <c r="AB423">
        <v>172.570087354886</v>
      </c>
      <c r="AC423">
        <v>2.8421709430404007E-14</v>
      </c>
      <c r="AD423" s="5">
        <v>1.646966161172271E-16</v>
      </c>
      <c r="AE423">
        <v>136.20369956976</v>
      </c>
      <c r="AF423">
        <v>2.24322884217869E-14</v>
      </c>
      <c r="AG423">
        <v>0</v>
      </c>
      <c r="AH423" t="str">
        <f t="shared" si="13"/>
        <v>False</v>
      </c>
      <c r="AI423">
        <v>0</v>
      </c>
    </row>
    <row r="424" spans="1:35" x14ac:dyDescent="0.35">
      <c r="A424" t="s">
        <v>511</v>
      </c>
      <c r="B424" t="s">
        <v>510</v>
      </c>
      <c r="C424" t="s">
        <v>63</v>
      </c>
      <c r="D424" t="s">
        <v>39</v>
      </c>
      <c r="E424" t="s">
        <v>39</v>
      </c>
      <c r="F424" t="s">
        <v>39</v>
      </c>
      <c r="G424" t="s">
        <v>37</v>
      </c>
      <c r="H424" t="s">
        <v>35</v>
      </c>
      <c r="I424" t="s">
        <v>35</v>
      </c>
      <c r="J424" t="s">
        <v>35</v>
      </c>
      <c r="K424" t="s">
        <v>35</v>
      </c>
      <c r="L424" t="s">
        <v>35</v>
      </c>
      <c r="M424" t="s">
        <v>37</v>
      </c>
      <c r="N424" t="s">
        <v>35</v>
      </c>
      <c r="O424" t="str">
        <f t="shared" si="14"/>
        <v>True</v>
      </c>
      <c r="P424" s="3">
        <v>103794.69</v>
      </c>
      <c r="Q424" s="3">
        <v>6247.1736000000001</v>
      </c>
      <c r="R424" s="3">
        <v>3043.8503999999998</v>
      </c>
      <c r="S424" s="3">
        <v>16705.478144411609</v>
      </c>
      <c r="T424" s="3">
        <v>-1232.378467510106</v>
      </c>
      <c r="U424">
        <v>0.28819875418000479</v>
      </c>
      <c r="V424" s="3">
        <v>-67565.251350202132</v>
      </c>
      <c r="W424">
        <v>57.298536145317307</v>
      </c>
      <c r="X424">
        <v>21.937710373504508</v>
      </c>
      <c r="Y424">
        <v>7.5609265275314819</v>
      </c>
      <c r="Z424" s="5">
        <v>0.2563144376093508</v>
      </c>
      <c r="AA424">
        <v>17.31468853473126</v>
      </c>
      <c r="AB424">
        <v>142.65658700638619</v>
      </c>
      <c r="AC424">
        <v>29.913500348499809</v>
      </c>
      <c r="AD424" s="5">
        <v>0.17334116709915931</v>
      </c>
      <c r="AE424">
        <v>112.59399132311459</v>
      </c>
      <c r="AF424">
        <v>23.609708246645472</v>
      </c>
      <c r="AG424">
        <v>5.9675821053918554</v>
      </c>
      <c r="AH424" t="str">
        <f t="shared" si="13"/>
        <v>True</v>
      </c>
      <c r="AI424">
        <v>2</v>
      </c>
    </row>
    <row r="425" spans="1:35" x14ac:dyDescent="0.35">
      <c r="A425" t="s">
        <v>512</v>
      </c>
      <c r="B425" t="s">
        <v>510</v>
      </c>
      <c r="C425" t="s">
        <v>63</v>
      </c>
      <c r="D425" t="s">
        <v>39</v>
      </c>
      <c r="E425" t="s">
        <v>52</v>
      </c>
      <c r="F425" t="s">
        <v>39</v>
      </c>
      <c r="G425" t="s">
        <v>35</v>
      </c>
      <c r="H425" t="s">
        <v>35</v>
      </c>
      <c r="I425" t="s">
        <v>35</v>
      </c>
      <c r="J425" t="s">
        <v>35</v>
      </c>
      <c r="K425" t="s">
        <v>35</v>
      </c>
      <c r="L425" t="s">
        <v>37</v>
      </c>
      <c r="M425" t="s">
        <v>37</v>
      </c>
      <c r="N425" t="s">
        <v>35</v>
      </c>
      <c r="O425" t="str">
        <f t="shared" si="14"/>
        <v>True</v>
      </c>
      <c r="P425" s="3">
        <v>164610.35</v>
      </c>
      <c r="Q425" s="3">
        <v>5113.53</v>
      </c>
      <c r="R425" s="3">
        <v>4177.4940000000006</v>
      </c>
      <c r="S425" s="3">
        <v>16583.488727015181</v>
      </c>
      <c r="T425" s="3">
        <v>-1110.389050113673</v>
      </c>
      <c r="U425">
        <v>0.26431433991179532</v>
      </c>
      <c r="V425" s="3">
        <v>-103268.25100227341</v>
      </c>
      <c r="W425">
        <v>53.669617665382049</v>
      </c>
      <c r="X425">
        <v>18.92783569680692</v>
      </c>
      <c r="Y425">
        <v>10.57080120422907</v>
      </c>
      <c r="Z425" s="5">
        <v>0.35834880234272187</v>
      </c>
      <c r="AA425">
        <v>14.93909684041588</v>
      </c>
      <c r="AB425">
        <v>129.0612113519864</v>
      </c>
      <c r="AC425">
        <v>43.508876002899598</v>
      </c>
      <c r="AD425" s="5">
        <v>0.25212292970232258</v>
      </c>
      <c r="AE425">
        <v>101.86362379793719</v>
      </c>
      <c r="AF425">
        <v>34.340075771822889</v>
      </c>
      <c r="AG425">
        <v>8.3431737997072357</v>
      </c>
      <c r="AH425" t="str">
        <f t="shared" si="13"/>
        <v>False</v>
      </c>
      <c r="AI425">
        <v>2</v>
      </c>
    </row>
    <row r="426" spans="1:35" x14ac:dyDescent="0.35">
      <c r="A426" t="s">
        <v>513</v>
      </c>
      <c r="B426" t="s">
        <v>510</v>
      </c>
      <c r="C426" t="s">
        <v>63</v>
      </c>
      <c r="D426" t="s">
        <v>39</v>
      </c>
      <c r="E426" t="s">
        <v>39</v>
      </c>
      <c r="F426" t="s">
        <v>39</v>
      </c>
      <c r="G426" t="s">
        <v>35</v>
      </c>
      <c r="H426" t="s">
        <v>35</v>
      </c>
      <c r="I426" t="s">
        <v>37</v>
      </c>
      <c r="J426" t="s">
        <v>35</v>
      </c>
      <c r="K426" t="s">
        <v>35</v>
      </c>
      <c r="L426" t="s">
        <v>35</v>
      </c>
      <c r="M426" t="s">
        <v>37</v>
      </c>
      <c r="N426" t="s">
        <v>35</v>
      </c>
      <c r="O426" t="str">
        <f t="shared" si="14"/>
        <v>True</v>
      </c>
      <c r="P426" s="3">
        <v>342136.93</v>
      </c>
      <c r="Q426" s="3">
        <v>6178.7043000000003</v>
      </c>
      <c r="R426" s="3">
        <v>3112.3197</v>
      </c>
      <c r="S426" s="3">
        <v>16698.447702587921</v>
      </c>
      <c r="T426" s="3">
        <v>-1225.3480256864109</v>
      </c>
      <c r="U426">
        <v>8.9827199470531097E-2</v>
      </c>
      <c r="V426" s="3">
        <v>-304397.49651372823</v>
      </c>
      <c r="W426">
        <v>181.31535022880351</v>
      </c>
      <c r="X426">
        <v>21.756033922705729</v>
      </c>
      <c r="Y426">
        <v>7.742602978330261</v>
      </c>
      <c r="Z426" s="5">
        <v>0.26247324594372501</v>
      </c>
      <c r="AA426">
        <v>17.171297492269719</v>
      </c>
      <c r="AB426">
        <v>141.83688509754089</v>
      </c>
      <c r="AC426">
        <v>30.733202257345141</v>
      </c>
      <c r="AD426" s="5">
        <v>0.17809113229538501</v>
      </c>
      <c r="AE426">
        <v>111.9470284905611</v>
      </c>
      <c r="AF426">
        <v>24.256671079199009</v>
      </c>
      <c r="AG426">
        <v>6.1109731478534037</v>
      </c>
      <c r="AH426" t="str">
        <f t="shared" si="13"/>
        <v>True</v>
      </c>
      <c r="AI426">
        <v>2</v>
      </c>
    </row>
    <row r="427" spans="1:35" x14ac:dyDescent="0.35">
      <c r="A427" t="s">
        <v>514</v>
      </c>
      <c r="B427" t="s">
        <v>510</v>
      </c>
      <c r="C427" t="s">
        <v>63</v>
      </c>
      <c r="D427" t="s">
        <v>39</v>
      </c>
      <c r="E427" t="s">
        <v>39</v>
      </c>
      <c r="F427" t="s">
        <v>39</v>
      </c>
      <c r="G427" t="s">
        <v>35</v>
      </c>
      <c r="H427" t="s">
        <v>35</v>
      </c>
      <c r="I427" t="s">
        <v>35</v>
      </c>
      <c r="J427" t="s">
        <v>35</v>
      </c>
      <c r="K427" t="s">
        <v>35</v>
      </c>
      <c r="L427" t="s">
        <v>35</v>
      </c>
      <c r="M427" t="s">
        <v>37</v>
      </c>
      <c r="N427" t="s">
        <v>35</v>
      </c>
      <c r="O427" t="str">
        <f t="shared" si="14"/>
        <v>False</v>
      </c>
      <c r="P427" s="3">
        <v>58702.91</v>
      </c>
      <c r="Q427" s="3">
        <v>6976.0682999999999</v>
      </c>
      <c r="R427" s="3">
        <v>2314.9557000000009</v>
      </c>
      <c r="S427" s="3">
        <v>16784.41878073792</v>
      </c>
      <c r="T427" s="3">
        <v>-1311.319103836413</v>
      </c>
      <c r="U427">
        <v>0.36062940212945782</v>
      </c>
      <c r="V427" s="3">
        <v>-38630.178076728247</v>
      </c>
      <c r="W427">
        <v>58.490204745813912</v>
      </c>
      <c r="X427">
        <v>23.87312726944781</v>
      </c>
      <c r="Y427">
        <v>5.6255096315881836</v>
      </c>
      <c r="Z427" s="5">
        <v>0.19070405356223821</v>
      </c>
      <c r="AA427">
        <v>18.842247252918551</v>
      </c>
      <c r="AB427">
        <v>151.4000920183266</v>
      </c>
      <c r="AC427">
        <v>21.169995336559371</v>
      </c>
      <c r="AD427" s="5">
        <v>0.12267476745853299</v>
      </c>
      <c r="AE427">
        <v>119.4949423980479</v>
      </c>
      <c r="AF427">
        <v>16.708757171712211</v>
      </c>
      <c r="AG427">
        <v>4.4400233872045654</v>
      </c>
      <c r="AH427" t="str">
        <f t="shared" si="13"/>
        <v>False</v>
      </c>
      <c r="AI427">
        <v>0</v>
      </c>
    </row>
    <row r="428" spans="1:35" x14ac:dyDescent="0.35">
      <c r="A428" t="s">
        <v>515</v>
      </c>
      <c r="B428" t="s">
        <v>510</v>
      </c>
      <c r="C428" t="s">
        <v>63</v>
      </c>
      <c r="D428" t="s">
        <v>39</v>
      </c>
      <c r="E428" t="s">
        <v>52</v>
      </c>
      <c r="F428" t="s">
        <v>39</v>
      </c>
      <c r="G428" t="s">
        <v>37</v>
      </c>
      <c r="H428" t="s">
        <v>35</v>
      </c>
      <c r="I428" t="s">
        <v>35</v>
      </c>
      <c r="J428" t="s">
        <v>35</v>
      </c>
      <c r="K428" t="s">
        <v>35</v>
      </c>
      <c r="L428" t="s">
        <v>37</v>
      </c>
      <c r="M428" t="s">
        <v>37</v>
      </c>
      <c r="N428" t="s">
        <v>35</v>
      </c>
      <c r="O428" t="str">
        <f t="shared" si="14"/>
        <v>True</v>
      </c>
      <c r="P428" s="3">
        <v>209702.13</v>
      </c>
      <c r="Q428" s="3">
        <v>4422.7701000000006</v>
      </c>
      <c r="R428" s="3">
        <v>4868.2539000000006</v>
      </c>
      <c r="S428" s="3">
        <v>16508.008881252921</v>
      </c>
      <c r="T428" s="3">
        <v>-1034.909204351419</v>
      </c>
      <c r="U428">
        <v>0.24700636095310241</v>
      </c>
      <c r="V428" s="3">
        <v>-133035.2360870284</v>
      </c>
      <c r="W428">
        <v>54.704741328908732</v>
      </c>
      <c r="X428">
        <v>17.093453859818261</v>
      </c>
      <c r="Y428">
        <v>12.405183041217731</v>
      </c>
      <c r="Z428" s="5">
        <v>0.42053411087554571</v>
      </c>
      <c r="AA428">
        <v>13.49128165731512</v>
      </c>
      <c r="AB428">
        <v>120.7723273394716</v>
      </c>
      <c r="AC428">
        <v>51.797760015414411</v>
      </c>
      <c r="AD428" s="5">
        <v>0.30015491565982477</v>
      </c>
      <c r="AE428">
        <v>95.321489612842598</v>
      </c>
      <c r="AF428">
        <v>40.88220995691745</v>
      </c>
      <c r="AG428">
        <v>9.7909889828079955</v>
      </c>
      <c r="AH428" t="str">
        <f t="shared" si="13"/>
        <v>True</v>
      </c>
      <c r="AI428">
        <v>2</v>
      </c>
    </row>
    <row r="429" spans="1:35" x14ac:dyDescent="0.35">
      <c r="A429" t="s">
        <v>516</v>
      </c>
      <c r="B429" t="s">
        <v>510</v>
      </c>
      <c r="C429" t="s">
        <v>63</v>
      </c>
      <c r="D429" t="s">
        <v>39</v>
      </c>
      <c r="E429" t="s">
        <v>52</v>
      </c>
      <c r="F429" t="s">
        <v>39</v>
      </c>
      <c r="G429" t="s">
        <v>35</v>
      </c>
      <c r="H429" t="s">
        <v>35</v>
      </c>
      <c r="I429" t="s">
        <v>37</v>
      </c>
      <c r="J429" t="s">
        <v>35</v>
      </c>
      <c r="K429" t="s">
        <v>35</v>
      </c>
      <c r="L429" t="s">
        <v>37</v>
      </c>
      <c r="M429" t="s">
        <v>37</v>
      </c>
      <c r="N429" t="s">
        <v>35</v>
      </c>
      <c r="O429" t="str">
        <f t="shared" si="14"/>
        <v>True</v>
      </c>
      <c r="P429" s="3">
        <v>448044.37</v>
      </c>
      <c r="Q429" s="3">
        <v>4362.9678000000004</v>
      </c>
      <c r="R429" s="3">
        <v>4928.0562</v>
      </c>
      <c r="S429" s="3">
        <v>16501.944555169961</v>
      </c>
      <c r="T429" s="3">
        <v>-1028.8448782684529</v>
      </c>
      <c r="U429">
        <v>0.1172057587063251</v>
      </c>
      <c r="V429" s="3">
        <v>-370060.14356536907</v>
      </c>
      <c r="W429">
        <v>114.90640876602561</v>
      </c>
      <c r="X429">
        <v>16.934799855760151</v>
      </c>
      <c r="Y429">
        <v>12.563837045275839</v>
      </c>
      <c r="Z429" s="5">
        <v>0.4259124612240846</v>
      </c>
      <c r="AA429">
        <v>13.366061448903039</v>
      </c>
      <c r="AB429">
        <v>120.0567070349386</v>
      </c>
      <c r="AC429">
        <v>52.51338031994743</v>
      </c>
      <c r="AD429" s="5">
        <v>0.30430175428928768</v>
      </c>
      <c r="AE429">
        <v>94.756674849991001</v>
      </c>
      <c r="AF429">
        <v>41.447024719769082</v>
      </c>
      <c r="AG429">
        <v>9.9162091912200836</v>
      </c>
      <c r="AH429" t="str">
        <f t="shared" si="13"/>
        <v>True</v>
      </c>
      <c r="AI429">
        <v>2</v>
      </c>
    </row>
    <row r="430" spans="1:35" x14ac:dyDescent="0.35">
      <c r="A430" t="s">
        <v>517</v>
      </c>
      <c r="B430" t="s">
        <v>510</v>
      </c>
      <c r="C430" t="s">
        <v>63</v>
      </c>
      <c r="D430" t="s">
        <v>39</v>
      </c>
      <c r="E430" t="s">
        <v>39</v>
      </c>
      <c r="F430" t="s">
        <v>39</v>
      </c>
      <c r="G430" t="s">
        <v>37</v>
      </c>
      <c r="H430" t="s">
        <v>35</v>
      </c>
      <c r="I430" t="s">
        <v>37</v>
      </c>
      <c r="J430" t="s">
        <v>35</v>
      </c>
      <c r="K430" t="s">
        <v>35</v>
      </c>
      <c r="L430" t="s">
        <v>37</v>
      </c>
      <c r="M430" t="s">
        <v>37</v>
      </c>
      <c r="N430" t="s">
        <v>35</v>
      </c>
      <c r="O430" t="str">
        <f t="shared" si="14"/>
        <v>True</v>
      </c>
      <c r="P430" s="3">
        <v>493136.15</v>
      </c>
      <c r="Q430" s="3">
        <v>5467.1436000000003</v>
      </c>
      <c r="R430" s="3">
        <v>3823.8804</v>
      </c>
      <c r="S430" s="3">
        <v>16621.146160848431</v>
      </c>
      <c r="T430" s="3">
        <v>-1148.0464839469239</v>
      </c>
      <c r="U430">
        <v>7.96327393415205E-2</v>
      </c>
      <c r="V430" s="3">
        <v>-439619.47167893848</v>
      </c>
      <c r="W430">
        <v>184.29251047366509</v>
      </c>
      <c r="X430">
        <v>19.86656408410235</v>
      </c>
      <c r="Y430">
        <v>9.6320728169336398</v>
      </c>
      <c r="Z430" s="5">
        <v>0.32652603065178792</v>
      </c>
      <c r="AA430">
        <v>15.68000322344305</v>
      </c>
      <c r="AB430">
        <v>133.30030486205499</v>
      </c>
      <c r="AC430">
        <v>39.269782492830963</v>
      </c>
      <c r="AD430" s="5">
        <v>0.2275584552036162</v>
      </c>
      <c r="AE430">
        <v>105.209396102648</v>
      </c>
      <c r="AF430">
        <v>30.99430346711204</v>
      </c>
      <c r="AG430">
        <v>7.6022674166800659</v>
      </c>
      <c r="AH430" t="str">
        <f t="shared" si="13"/>
        <v>True</v>
      </c>
      <c r="AI430">
        <v>2</v>
      </c>
    </row>
    <row r="431" spans="1:35" x14ac:dyDescent="0.35">
      <c r="A431" t="s">
        <v>518</v>
      </c>
      <c r="B431" t="s">
        <v>510</v>
      </c>
      <c r="C431" t="s">
        <v>63</v>
      </c>
      <c r="D431" t="s">
        <v>39</v>
      </c>
      <c r="E431" t="s">
        <v>52</v>
      </c>
      <c r="F431" t="s">
        <v>39</v>
      </c>
      <c r="G431" t="s">
        <v>35</v>
      </c>
      <c r="H431" t="s">
        <v>35</v>
      </c>
      <c r="I431" t="s">
        <v>35</v>
      </c>
      <c r="J431" t="s">
        <v>35</v>
      </c>
      <c r="K431" t="s">
        <v>35</v>
      </c>
      <c r="L431" t="s">
        <v>35</v>
      </c>
      <c r="M431" t="s">
        <v>35</v>
      </c>
      <c r="N431" t="s">
        <v>37</v>
      </c>
      <c r="O431" t="str">
        <f t="shared" si="14"/>
        <v>False</v>
      </c>
      <c r="P431" s="3">
        <v>9273.1737723880597</v>
      </c>
      <c r="Q431" s="3">
        <v>3706.0092</v>
      </c>
      <c r="R431" s="3">
        <v>5585.0147999999999</v>
      </c>
      <c r="S431" s="3">
        <v>15432.84</v>
      </c>
      <c r="T431" s="3">
        <v>40.259676901504477</v>
      </c>
      <c r="U431">
        <v>6.967419024031444</v>
      </c>
      <c r="V431" s="3">
        <v>103232.31576564199</v>
      </c>
      <c r="W431">
        <v>1.6484837869628499</v>
      </c>
      <c r="X431">
        <v>14.85732</v>
      </c>
      <c r="Y431">
        <v>14.64131690103599</v>
      </c>
      <c r="Z431" s="5">
        <v>0.49633876135211491</v>
      </c>
      <c r="AA431">
        <v>11.7263772691397</v>
      </c>
      <c r="AB431">
        <v>107.96</v>
      </c>
      <c r="AC431">
        <v>64.610087354885991</v>
      </c>
      <c r="AD431" s="5">
        <v>0.37439911137100479</v>
      </c>
      <c r="AE431">
        <v>85.209155485398597</v>
      </c>
      <c r="AF431">
        <v>50.994544084361472</v>
      </c>
      <c r="AG431">
        <v>11.555893370983419</v>
      </c>
      <c r="AH431" t="str">
        <f t="shared" si="13"/>
        <v>False</v>
      </c>
      <c r="AI431">
        <v>0</v>
      </c>
    </row>
    <row r="432" spans="1:35" x14ac:dyDescent="0.35">
      <c r="A432" t="s">
        <v>519</v>
      </c>
      <c r="B432" t="s">
        <v>510</v>
      </c>
      <c r="C432" t="s">
        <v>63</v>
      </c>
      <c r="D432" t="s">
        <v>39</v>
      </c>
      <c r="E432" t="s">
        <v>39</v>
      </c>
      <c r="F432" t="s">
        <v>39</v>
      </c>
      <c r="G432" t="s">
        <v>37</v>
      </c>
      <c r="H432" t="s">
        <v>35</v>
      </c>
      <c r="I432" t="s">
        <v>35</v>
      </c>
      <c r="J432" t="s">
        <v>35</v>
      </c>
      <c r="K432" t="s">
        <v>35</v>
      </c>
      <c r="L432" t="s">
        <v>37</v>
      </c>
      <c r="M432" t="s">
        <v>37</v>
      </c>
      <c r="N432" t="s">
        <v>37</v>
      </c>
      <c r="O432" t="str">
        <f t="shared" si="14"/>
        <v>True</v>
      </c>
      <c r="P432" s="3">
        <v>218730.71</v>
      </c>
      <c r="Q432" s="3">
        <v>8191.181700000001</v>
      </c>
      <c r="R432" s="3">
        <v>1099.8423</v>
      </c>
      <c r="S432" s="3">
        <v>15473.099837294099</v>
      </c>
      <c r="T432" s="3">
        <v>-1.6039259537160001E-4</v>
      </c>
      <c r="U432">
        <v>5.80165415381328E-2</v>
      </c>
      <c r="V432" s="3">
        <v>-196733.8672078519</v>
      </c>
      <c r="W432">
        <v>198.8746403898266</v>
      </c>
      <c r="X432">
        <v>26.618006954567949</v>
      </c>
      <c r="Y432">
        <v>2.8806299464680372</v>
      </c>
      <c r="Z432" s="5">
        <v>9.7652984988159497E-2</v>
      </c>
      <c r="AA432">
        <v>21.008687414812911</v>
      </c>
      <c r="AB432">
        <v>159.88008803250571</v>
      </c>
      <c r="AC432">
        <v>12.68999932238029</v>
      </c>
      <c r="AD432" s="5">
        <v>7.3535335798281296E-2</v>
      </c>
      <c r="AE432">
        <v>126.1879147849295</v>
      </c>
      <c r="AF432">
        <v>10.015784784830529</v>
      </c>
      <c r="AG432">
        <v>2.2735832253102122</v>
      </c>
      <c r="AH432" t="str">
        <f t="shared" si="13"/>
        <v>True</v>
      </c>
      <c r="AI432">
        <v>2</v>
      </c>
    </row>
    <row r="433" spans="1:35" x14ac:dyDescent="0.35">
      <c r="A433" t="s">
        <v>520</v>
      </c>
      <c r="B433" t="s">
        <v>510</v>
      </c>
      <c r="C433" t="s">
        <v>63</v>
      </c>
      <c r="D433" t="s">
        <v>39</v>
      </c>
      <c r="E433" t="s">
        <v>52</v>
      </c>
      <c r="F433" t="s">
        <v>39</v>
      </c>
      <c r="G433" t="s">
        <v>37</v>
      </c>
      <c r="H433" t="s">
        <v>35</v>
      </c>
      <c r="I433" t="s">
        <v>37</v>
      </c>
      <c r="J433" t="s">
        <v>35</v>
      </c>
      <c r="K433" t="s">
        <v>35</v>
      </c>
      <c r="L433" t="s">
        <v>37</v>
      </c>
      <c r="M433" t="s">
        <v>37</v>
      </c>
      <c r="N433" t="s">
        <v>37</v>
      </c>
      <c r="O433" t="str">
        <f t="shared" si="14"/>
        <v>True</v>
      </c>
      <c r="P433" s="3">
        <v>501665.81</v>
      </c>
      <c r="Q433" s="3">
        <v>3267.4589999999998</v>
      </c>
      <c r="R433" s="3">
        <v>6023.5650000000014</v>
      </c>
      <c r="S433" s="3">
        <v>16447.06796404377</v>
      </c>
      <c r="T433" s="3">
        <v>-973.96828714226081</v>
      </c>
      <c r="U433">
        <v>0.13033621044782831</v>
      </c>
      <c r="V433" s="3">
        <v>-400673.87574284518</v>
      </c>
      <c r="W433">
        <v>99.347698148371563</v>
      </c>
      <c r="X433">
        <v>14.04720447469141</v>
      </c>
      <c r="Y433">
        <v>15.45143242634458</v>
      </c>
      <c r="Z433" s="5">
        <v>0.52380157355006207</v>
      </c>
      <c r="AA433">
        <v>11.08698064300822</v>
      </c>
      <c r="AB433">
        <v>107.1848667682457</v>
      </c>
      <c r="AC433">
        <v>65.385220586640258</v>
      </c>
      <c r="AD433" s="5">
        <v>0.37889081235832728</v>
      </c>
      <c r="AE433">
        <v>84.59736919356412</v>
      </c>
      <c r="AF433">
        <v>51.606330376195942</v>
      </c>
      <c r="AG433">
        <v>12.1952899971149</v>
      </c>
      <c r="AH433" t="str">
        <f t="shared" si="13"/>
        <v>True</v>
      </c>
      <c r="AI433">
        <v>2</v>
      </c>
    </row>
    <row r="434" spans="1:35" x14ac:dyDescent="0.35">
      <c r="A434" t="s">
        <v>521</v>
      </c>
      <c r="B434" t="s">
        <v>522</v>
      </c>
      <c r="C434" t="s">
        <v>63</v>
      </c>
      <c r="D434" t="s">
        <v>283</v>
      </c>
      <c r="E434" t="s">
        <v>39</v>
      </c>
      <c r="F434" t="s">
        <v>283</v>
      </c>
      <c r="G434" t="s">
        <v>35</v>
      </c>
      <c r="H434" t="s">
        <v>35</v>
      </c>
      <c r="I434" t="s">
        <v>35</v>
      </c>
      <c r="J434" t="s">
        <v>35</v>
      </c>
      <c r="K434" t="s">
        <v>35</v>
      </c>
      <c r="L434" t="s">
        <v>35</v>
      </c>
      <c r="M434" t="s">
        <v>35</v>
      </c>
      <c r="N434" t="s">
        <v>35</v>
      </c>
      <c r="O434" t="str">
        <f t="shared" si="14"/>
        <v>False</v>
      </c>
      <c r="P434" s="3">
        <v>0</v>
      </c>
      <c r="Q434" s="3">
        <v>0</v>
      </c>
      <c r="R434" s="3">
        <v>0</v>
      </c>
      <c r="S434" s="3">
        <v>15292.43780588532</v>
      </c>
      <c r="T434" s="3">
        <v>0</v>
      </c>
      <c r="U434">
        <v>0</v>
      </c>
      <c r="V434" s="3">
        <v>0</v>
      </c>
      <c r="W434">
        <v>0</v>
      </c>
      <c r="X434">
        <v>5.1039399521121256</v>
      </c>
      <c r="Y434">
        <v>-8.8817841970012523E-16</v>
      </c>
      <c r="Z434" s="5">
        <v>-1.7401819536152201E-16</v>
      </c>
      <c r="AA434">
        <v>16.464322426168149</v>
      </c>
      <c r="AB434">
        <v>64.606834836862362</v>
      </c>
      <c r="AC434">
        <v>0</v>
      </c>
      <c r="AD434" s="5">
        <v>0</v>
      </c>
      <c r="AE434">
        <v>208.40914463503989</v>
      </c>
      <c r="AF434">
        <v>0</v>
      </c>
      <c r="AG434">
        <v>-3.5527136788005009E-15</v>
      </c>
      <c r="AH434" t="str">
        <f t="shared" si="13"/>
        <v>False</v>
      </c>
      <c r="AI434">
        <v>0</v>
      </c>
    </row>
    <row r="435" spans="1:35" x14ac:dyDescent="0.35">
      <c r="A435" t="s">
        <v>523</v>
      </c>
      <c r="B435" t="s">
        <v>522</v>
      </c>
      <c r="C435" t="s">
        <v>63</v>
      </c>
      <c r="D435" t="s">
        <v>283</v>
      </c>
      <c r="E435" t="s">
        <v>52</v>
      </c>
      <c r="F435" t="s">
        <v>283</v>
      </c>
      <c r="G435" t="s">
        <v>35</v>
      </c>
      <c r="H435" t="s">
        <v>37</v>
      </c>
      <c r="I435" t="s">
        <v>35</v>
      </c>
      <c r="J435" t="s">
        <v>35</v>
      </c>
      <c r="K435" t="s">
        <v>35</v>
      </c>
      <c r="L435" t="s">
        <v>35</v>
      </c>
      <c r="M435" t="s">
        <v>37</v>
      </c>
      <c r="N435" t="s">
        <v>35</v>
      </c>
      <c r="O435" t="str">
        <f t="shared" si="14"/>
        <v>True</v>
      </c>
      <c r="P435" s="3">
        <v>64569</v>
      </c>
      <c r="Q435" s="3">
        <v>0</v>
      </c>
      <c r="R435" s="3">
        <v>0</v>
      </c>
      <c r="S435" s="3">
        <v>11524.34773224234</v>
      </c>
      <c r="T435" s="3">
        <v>3768.0900736429812</v>
      </c>
      <c r="U435">
        <v>0.2465465657419566</v>
      </c>
      <c r="V435" s="3">
        <v>10792.801472859621</v>
      </c>
      <c r="W435">
        <v>17.135736868830961</v>
      </c>
      <c r="X435">
        <v>3.8463180010441271</v>
      </c>
      <c r="Y435">
        <v>1.257621951067998</v>
      </c>
      <c r="Z435" s="5">
        <v>0.24640218397310221</v>
      </c>
      <c r="AA435">
        <v>12.407477422722989</v>
      </c>
      <c r="AB435">
        <v>48.687569633469963</v>
      </c>
      <c r="AC435">
        <v>15.919265203392399</v>
      </c>
      <c r="AD435" s="5">
        <v>0.2464021839731024</v>
      </c>
      <c r="AE435">
        <v>157.05667623699989</v>
      </c>
      <c r="AF435">
        <v>51.352468398040003</v>
      </c>
      <c r="AG435">
        <v>4.056845003445158</v>
      </c>
      <c r="AH435" t="str">
        <f t="shared" si="13"/>
        <v>False</v>
      </c>
      <c r="AI435">
        <v>1</v>
      </c>
    </row>
    <row r="436" spans="1:35" x14ac:dyDescent="0.35">
      <c r="A436" t="s">
        <v>524</v>
      </c>
      <c r="B436" t="s">
        <v>522</v>
      </c>
      <c r="C436" t="s">
        <v>63</v>
      </c>
      <c r="D436" t="s">
        <v>283</v>
      </c>
      <c r="E436" t="s">
        <v>52</v>
      </c>
      <c r="F436" t="s">
        <v>283</v>
      </c>
      <c r="G436" t="s">
        <v>37</v>
      </c>
      <c r="H436" t="s">
        <v>35</v>
      </c>
      <c r="I436" t="s">
        <v>35</v>
      </c>
      <c r="J436" t="s">
        <v>35</v>
      </c>
      <c r="K436" t="s">
        <v>35</v>
      </c>
      <c r="L436" t="s">
        <v>35</v>
      </c>
      <c r="M436" t="s">
        <v>37</v>
      </c>
      <c r="N436" t="s">
        <v>35</v>
      </c>
      <c r="O436" t="str">
        <f t="shared" si="14"/>
        <v>True</v>
      </c>
      <c r="P436" s="3">
        <v>52971</v>
      </c>
      <c r="Q436" s="3">
        <v>0</v>
      </c>
      <c r="R436" s="3">
        <v>0</v>
      </c>
      <c r="S436" s="3">
        <v>11545.82432428529</v>
      </c>
      <c r="T436" s="3">
        <v>3746.613481600034</v>
      </c>
      <c r="U436">
        <v>0.29881504633064399</v>
      </c>
      <c r="V436" s="3">
        <v>21961.269632000669</v>
      </c>
      <c r="W436">
        <v>14.13836795819625</v>
      </c>
      <c r="X436">
        <v>3.8534859383968638</v>
      </c>
      <c r="Y436">
        <v>1.250454013715262</v>
      </c>
      <c r="Z436" s="5">
        <v>0.2449977910100207</v>
      </c>
      <c r="AA436">
        <v>12.430599801280209</v>
      </c>
      <c r="AB436">
        <v>48.778303017681822</v>
      </c>
      <c r="AC436">
        <v>15.82853181918054</v>
      </c>
      <c r="AD436" s="5">
        <v>0.24499779101002089</v>
      </c>
      <c r="AE436">
        <v>157.34936457316721</v>
      </c>
      <c r="AF436">
        <v>51.059780061872708</v>
      </c>
      <c r="AG436">
        <v>4.0337226248879432</v>
      </c>
      <c r="AH436" t="str">
        <f t="shared" si="13"/>
        <v>True</v>
      </c>
      <c r="AI436">
        <v>1</v>
      </c>
    </row>
    <row r="437" spans="1:35" x14ac:dyDescent="0.35">
      <c r="A437" t="s">
        <v>525</v>
      </c>
      <c r="B437" t="s">
        <v>522</v>
      </c>
      <c r="C437" t="s">
        <v>63</v>
      </c>
      <c r="D437" t="s">
        <v>34</v>
      </c>
      <c r="E437" t="s">
        <v>52</v>
      </c>
      <c r="F437" t="s">
        <v>34</v>
      </c>
      <c r="G437" t="s">
        <v>35</v>
      </c>
      <c r="H437" t="s">
        <v>35</v>
      </c>
      <c r="I437" t="s">
        <v>35</v>
      </c>
      <c r="J437" t="s">
        <v>35</v>
      </c>
      <c r="K437" t="s">
        <v>37</v>
      </c>
      <c r="L437" t="s">
        <v>35</v>
      </c>
      <c r="M437" t="s">
        <v>37</v>
      </c>
      <c r="N437" t="s">
        <v>35</v>
      </c>
      <c r="O437" t="str">
        <f t="shared" si="14"/>
        <v>True</v>
      </c>
      <c r="P437" s="3">
        <v>77786.774221913918</v>
      </c>
      <c r="Q437" s="3">
        <v>0</v>
      </c>
      <c r="R437" s="3">
        <v>0</v>
      </c>
      <c r="S437" s="3">
        <v>9882.746898811858</v>
      </c>
      <c r="T437" s="3">
        <v>5409.6909070734628</v>
      </c>
      <c r="U437">
        <v>0.29381125737343161</v>
      </c>
      <c r="V437" s="3">
        <v>30407.04391955533</v>
      </c>
      <c r="W437">
        <v>14.37915318233866</v>
      </c>
      <c r="X437">
        <v>3.2984241867601889</v>
      </c>
      <c r="Y437">
        <v>1.805515765351936</v>
      </c>
      <c r="Z437" s="5">
        <v>0.35374941364754359</v>
      </c>
      <c r="AA437">
        <v>10.64007802180706</v>
      </c>
      <c r="AB437">
        <v>41.752204895698597</v>
      </c>
      <c r="AC437">
        <v>22.854629941163761</v>
      </c>
      <c r="AD437" s="5">
        <v>0.35374941364754381</v>
      </c>
      <c r="AE437">
        <v>134.6845319216084</v>
      </c>
      <c r="AF437">
        <v>73.724612713431512</v>
      </c>
      <c r="AG437">
        <v>5.8242444043610853</v>
      </c>
      <c r="AH437" t="str">
        <f t="shared" si="13"/>
        <v>False</v>
      </c>
      <c r="AI437">
        <v>1</v>
      </c>
    </row>
    <row r="438" spans="1:35" x14ac:dyDescent="0.35">
      <c r="A438" t="s">
        <v>526</v>
      </c>
      <c r="B438" t="s">
        <v>522</v>
      </c>
      <c r="C438" t="s">
        <v>63</v>
      </c>
      <c r="D438" t="s">
        <v>283</v>
      </c>
      <c r="E438" t="s">
        <v>52</v>
      </c>
      <c r="F438" t="s">
        <v>283</v>
      </c>
      <c r="G438" t="s">
        <v>35</v>
      </c>
      <c r="H438" t="s">
        <v>35</v>
      </c>
      <c r="I438" t="s">
        <v>35</v>
      </c>
      <c r="J438" t="s">
        <v>35</v>
      </c>
      <c r="K438" t="s">
        <v>35</v>
      </c>
      <c r="L438" t="s">
        <v>35</v>
      </c>
      <c r="M438" t="s">
        <v>37</v>
      </c>
      <c r="N438" t="s">
        <v>35</v>
      </c>
      <c r="O438" t="str">
        <f t="shared" si="14"/>
        <v>False</v>
      </c>
      <c r="P438" s="3">
        <v>44686.019233865438</v>
      </c>
      <c r="Q438" s="3">
        <v>0</v>
      </c>
      <c r="R438" s="3">
        <v>0</v>
      </c>
      <c r="S438" s="3">
        <v>12073.469803306019</v>
      </c>
      <c r="T438" s="3">
        <v>3218.968002579295</v>
      </c>
      <c r="U438">
        <v>0.3043313788289953</v>
      </c>
      <c r="V438" s="3">
        <v>19693.340817720469</v>
      </c>
      <c r="W438">
        <v>13.882094881980629</v>
      </c>
      <c r="X438">
        <v>4.0295906821342458</v>
      </c>
      <c r="Y438">
        <v>1.0743492699778801</v>
      </c>
      <c r="Z438" s="5">
        <v>0.21049410456588341</v>
      </c>
      <c r="AA438">
        <v>12.99867961978789</v>
      </c>
      <c r="AB438">
        <v>51.007476989041088</v>
      </c>
      <c r="AC438">
        <v>13.59935784782127</v>
      </c>
      <c r="AD438" s="5">
        <v>0.21049410456588349</v>
      </c>
      <c r="AE438">
        <v>164.54024835174539</v>
      </c>
      <c r="AF438">
        <v>43.868896283294433</v>
      </c>
      <c r="AG438">
        <v>3.4656428063802589</v>
      </c>
      <c r="AH438" t="str">
        <f t="shared" si="13"/>
        <v>False</v>
      </c>
      <c r="AI438">
        <v>0</v>
      </c>
    </row>
    <row r="439" spans="1:35" x14ac:dyDescent="0.35">
      <c r="A439" t="s">
        <v>527</v>
      </c>
      <c r="B439" t="s">
        <v>522</v>
      </c>
      <c r="C439" t="s">
        <v>63</v>
      </c>
      <c r="D439" t="s">
        <v>283</v>
      </c>
      <c r="E439" t="s">
        <v>52</v>
      </c>
      <c r="F439" t="s">
        <v>283</v>
      </c>
      <c r="G439" t="s">
        <v>35</v>
      </c>
      <c r="H439" t="s">
        <v>35</v>
      </c>
      <c r="I439" t="s">
        <v>37</v>
      </c>
      <c r="J439" t="s">
        <v>35</v>
      </c>
      <c r="K439" t="s">
        <v>35</v>
      </c>
      <c r="L439" t="s">
        <v>35</v>
      </c>
      <c r="M439" t="s">
        <v>37</v>
      </c>
      <c r="N439" t="s">
        <v>35</v>
      </c>
      <c r="O439" t="str">
        <f t="shared" si="14"/>
        <v>True</v>
      </c>
      <c r="P439" s="3">
        <v>94316</v>
      </c>
      <c r="Q439" s="3">
        <v>0</v>
      </c>
      <c r="R439" s="3">
        <v>0</v>
      </c>
      <c r="S439" s="3">
        <v>11215.842473543329</v>
      </c>
      <c r="T439" s="3">
        <v>4076.5953323419849</v>
      </c>
      <c r="U439">
        <v>0.18260554919853089</v>
      </c>
      <c r="V439" s="3">
        <v>-12784.09335316029</v>
      </c>
      <c r="W439">
        <v>23.135973112596361</v>
      </c>
      <c r="X439">
        <v>3.7433525788336439</v>
      </c>
      <c r="Y439">
        <v>1.3605873732784819</v>
      </c>
      <c r="Z439" s="5">
        <v>0.26657589745260218</v>
      </c>
      <c r="AA439">
        <v>12.075330899463371</v>
      </c>
      <c r="AB439">
        <v>47.384209858653719</v>
      </c>
      <c r="AC439">
        <v>17.222624978208639</v>
      </c>
      <c r="AD439" s="5">
        <v>0.26657589745260241</v>
      </c>
      <c r="AE439">
        <v>152.85228986662489</v>
      </c>
      <c r="AF439">
        <v>55.556854768414972</v>
      </c>
      <c r="AG439">
        <v>4.3889915267047819</v>
      </c>
      <c r="AH439" t="str">
        <f t="shared" si="13"/>
        <v>True</v>
      </c>
      <c r="AI439">
        <v>1</v>
      </c>
    </row>
    <row r="440" spans="1:35" x14ac:dyDescent="0.35">
      <c r="A440" t="s">
        <v>528</v>
      </c>
      <c r="B440" t="s">
        <v>522</v>
      </c>
      <c r="C440" t="s">
        <v>63</v>
      </c>
      <c r="D440" t="s">
        <v>34</v>
      </c>
      <c r="E440" t="s">
        <v>52</v>
      </c>
      <c r="F440" t="s">
        <v>34</v>
      </c>
      <c r="G440" t="s">
        <v>37</v>
      </c>
      <c r="H440" t="s">
        <v>35</v>
      </c>
      <c r="I440" t="s">
        <v>35</v>
      </c>
      <c r="J440" t="s">
        <v>35</v>
      </c>
      <c r="K440" t="s">
        <v>37</v>
      </c>
      <c r="L440" t="s">
        <v>35</v>
      </c>
      <c r="M440" t="s">
        <v>37</v>
      </c>
      <c r="N440" t="s">
        <v>35</v>
      </c>
      <c r="O440" t="str">
        <f t="shared" si="14"/>
        <v>True</v>
      </c>
      <c r="P440" s="3">
        <v>86071</v>
      </c>
      <c r="Q440" s="3">
        <v>0</v>
      </c>
      <c r="R440" s="3">
        <v>0</v>
      </c>
      <c r="S440" s="3">
        <v>9383.3339407187759</v>
      </c>
      <c r="T440" s="3">
        <v>5909.1038651665449</v>
      </c>
      <c r="U440">
        <v>0.29004575722307607</v>
      </c>
      <c r="V440" s="3">
        <v>32111.077303330891</v>
      </c>
      <c r="W440">
        <v>14.56582960190938</v>
      </c>
      <c r="X440">
        <v>3.131742210886284</v>
      </c>
      <c r="Y440">
        <v>1.972197741225842</v>
      </c>
      <c r="Z440" s="5">
        <v>0.38640692479340438</v>
      </c>
      <c r="AA440">
        <v>10.10239422866543</v>
      </c>
      <c r="AB440">
        <v>39.642306466914981</v>
      </c>
      <c r="AC440">
        <v>24.964528369947381</v>
      </c>
      <c r="AD440" s="5">
        <v>0.38640692479340449</v>
      </c>
      <c r="AE440">
        <v>127.8784079577903</v>
      </c>
      <c r="AF440">
        <v>80.530736677249607</v>
      </c>
      <c r="AG440">
        <v>6.3619281975027189</v>
      </c>
      <c r="AH440" t="str">
        <f t="shared" si="13"/>
        <v>True</v>
      </c>
      <c r="AI440">
        <v>1</v>
      </c>
    </row>
    <row r="441" spans="1:35" x14ac:dyDescent="0.35">
      <c r="A441" t="s">
        <v>529</v>
      </c>
      <c r="B441" t="s">
        <v>522</v>
      </c>
      <c r="C441" t="s">
        <v>63</v>
      </c>
      <c r="D441" t="s">
        <v>34</v>
      </c>
      <c r="E441" t="s">
        <v>52</v>
      </c>
      <c r="F441" t="s">
        <v>34</v>
      </c>
      <c r="G441" t="s">
        <v>37</v>
      </c>
      <c r="H441" t="s">
        <v>35</v>
      </c>
      <c r="I441" t="s">
        <v>37</v>
      </c>
      <c r="J441" t="s">
        <v>35</v>
      </c>
      <c r="K441" t="s">
        <v>37</v>
      </c>
      <c r="L441" t="s">
        <v>35</v>
      </c>
      <c r="M441" t="s">
        <v>37</v>
      </c>
      <c r="N441" t="s">
        <v>35</v>
      </c>
      <c r="O441" t="str">
        <f t="shared" si="14"/>
        <v>True</v>
      </c>
      <c r="P441" s="3">
        <v>135702</v>
      </c>
      <c r="Q441" s="3">
        <v>0</v>
      </c>
      <c r="R441" s="3">
        <v>0</v>
      </c>
      <c r="S441" s="3">
        <v>8585.1422585385626</v>
      </c>
      <c r="T441" s="3">
        <v>6707.2955473467573</v>
      </c>
      <c r="U441">
        <v>0.20881559835239141</v>
      </c>
      <c r="V441" s="3">
        <v>-1556.0890530648469</v>
      </c>
      <c r="W441">
        <v>20.23199947610485</v>
      </c>
      <c r="X441">
        <v>2.8653411002304461</v>
      </c>
      <c r="Y441">
        <v>2.23859885188168</v>
      </c>
      <c r="Z441" s="5">
        <v>0.43860211383468523</v>
      </c>
      <c r="AA441">
        <v>9.2430358071949836</v>
      </c>
      <c r="AB441">
        <v>36.270140509246147</v>
      </c>
      <c r="AC441">
        <v>28.336694327616211</v>
      </c>
      <c r="AD441" s="5">
        <v>0.43860211383468528</v>
      </c>
      <c r="AE441">
        <v>117.00045325563271</v>
      </c>
      <c r="AF441">
        <v>91.408691379407145</v>
      </c>
      <c r="AG441">
        <v>7.2212866189731626</v>
      </c>
      <c r="AH441" t="str">
        <f t="shared" si="13"/>
        <v>True</v>
      </c>
      <c r="AI441">
        <v>1</v>
      </c>
    </row>
    <row r="442" spans="1:35" x14ac:dyDescent="0.35">
      <c r="A442" t="s">
        <v>530</v>
      </c>
      <c r="B442" t="s">
        <v>522</v>
      </c>
      <c r="C442" t="s">
        <v>63</v>
      </c>
      <c r="D442" t="s">
        <v>34</v>
      </c>
      <c r="E442" t="s">
        <v>52</v>
      </c>
      <c r="F442" t="s">
        <v>34</v>
      </c>
      <c r="G442" t="s">
        <v>35</v>
      </c>
      <c r="H442" t="s">
        <v>37</v>
      </c>
      <c r="I442" t="s">
        <v>37</v>
      </c>
      <c r="J442" t="s">
        <v>35</v>
      </c>
      <c r="K442" t="s">
        <v>37</v>
      </c>
      <c r="L442" t="s">
        <v>35</v>
      </c>
      <c r="M442" t="s">
        <v>37</v>
      </c>
      <c r="N442" t="s">
        <v>35</v>
      </c>
      <c r="O442" t="str">
        <f t="shared" si="14"/>
        <v>True</v>
      </c>
      <c r="P442" s="3">
        <v>147300</v>
      </c>
      <c r="Q442" s="3">
        <v>0</v>
      </c>
      <c r="R442" s="3">
        <v>0</v>
      </c>
      <c r="S442" s="3">
        <v>8560.3701568317119</v>
      </c>
      <c r="T442" s="3">
        <v>6732.0676490536089</v>
      </c>
      <c r="U442">
        <v>0.19308452436932261</v>
      </c>
      <c r="V442" s="3">
        <v>-12658.647018927821</v>
      </c>
      <c r="W442">
        <v>21.880350536986558</v>
      </c>
      <c r="X442">
        <v>2.8570732673836301</v>
      </c>
      <c r="Y442">
        <v>2.246866684728495</v>
      </c>
      <c r="Z442" s="5">
        <v>0.44022200609916878</v>
      </c>
      <c r="AA442">
        <v>9.2163653786568709</v>
      </c>
      <c r="AB442">
        <v>36.165484397261139</v>
      </c>
      <c r="AC442">
        <v>28.441350439601219</v>
      </c>
      <c r="AD442" s="5">
        <v>0.44022200609916889</v>
      </c>
      <c r="AE442">
        <v>116.6628528943908</v>
      </c>
      <c r="AF442">
        <v>91.746291740649099</v>
      </c>
      <c r="AG442">
        <v>7.247957047511278</v>
      </c>
      <c r="AH442" t="str">
        <f t="shared" si="13"/>
        <v>True</v>
      </c>
      <c r="AI442">
        <v>1</v>
      </c>
    </row>
    <row r="443" spans="1:35" x14ac:dyDescent="0.35">
      <c r="A443" t="s">
        <v>531</v>
      </c>
      <c r="B443" t="s">
        <v>522</v>
      </c>
      <c r="C443" t="s">
        <v>63</v>
      </c>
      <c r="D443" t="s">
        <v>34</v>
      </c>
      <c r="E443" t="s">
        <v>52</v>
      </c>
      <c r="F443" t="s">
        <v>34</v>
      </c>
      <c r="G443" t="s">
        <v>35</v>
      </c>
      <c r="H443" t="s">
        <v>37</v>
      </c>
      <c r="I443" t="s">
        <v>35</v>
      </c>
      <c r="J443" t="s">
        <v>35</v>
      </c>
      <c r="K443" t="s">
        <v>37</v>
      </c>
      <c r="L443" t="s">
        <v>35</v>
      </c>
      <c r="M443" t="s">
        <v>37</v>
      </c>
      <c r="N443" t="s">
        <v>35</v>
      </c>
      <c r="O443" t="str">
        <f t="shared" si="14"/>
        <v>True</v>
      </c>
      <c r="P443" s="3">
        <v>97670</v>
      </c>
      <c r="Q443" s="3">
        <v>0</v>
      </c>
      <c r="R443" s="3">
        <v>0</v>
      </c>
      <c r="S443" s="3">
        <v>9361.0420395215115</v>
      </c>
      <c r="T443" s="3">
        <v>5931.3957663638084</v>
      </c>
      <c r="U443">
        <v>0.25656502751385729</v>
      </c>
      <c r="V443" s="3">
        <v>20957.915327276161</v>
      </c>
      <c r="W443">
        <v>16.466613230206988</v>
      </c>
      <c r="X443">
        <v>3.124302159367129</v>
      </c>
      <c r="Y443">
        <v>1.9796377927449971</v>
      </c>
      <c r="Z443" s="5">
        <v>0.38786463228780299</v>
      </c>
      <c r="AA443">
        <v>10.07839406247461</v>
      </c>
      <c r="AB443">
        <v>39.548128599583912</v>
      </c>
      <c r="AC443">
        <v>25.05870623727845</v>
      </c>
      <c r="AD443" s="5">
        <v>0.38786463228780321</v>
      </c>
      <c r="AE443">
        <v>127.5746083857546</v>
      </c>
      <c r="AF443">
        <v>80.834536249285321</v>
      </c>
      <c r="AG443">
        <v>6.3859283636935409</v>
      </c>
      <c r="AH443" t="str">
        <f t="shared" si="13"/>
        <v>False</v>
      </c>
      <c r="AI443">
        <v>1</v>
      </c>
    </row>
    <row r="444" spans="1:35" x14ac:dyDescent="0.35">
      <c r="A444" t="s">
        <v>532</v>
      </c>
      <c r="B444" t="s">
        <v>522</v>
      </c>
      <c r="C444" t="s">
        <v>63</v>
      </c>
      <c r="D444" t="s">
        <v>34</v>
      </c>
      <c r="E444" t="s">
        <v>52</v>
      </c>
      <c r="F444" t="s">
        <v>34</v>
      </c>
      <c r="G444" t="s">
        <v>37</v>
      </c>
      <c r="H444" t="s">
        <v>35</v>
      </c>
      <c r="I444" t="s">
        <v>37</v>
      </c>
      <c r="J444" t="s">
        <v>35</v>
      </c>
      <c r="K444" t="s">
        <v>35</v>
      </c>
      <c r="L444" t="s">
        <v>35</v>
      </c>
      <c r="M444" t="s">
        <v>37</v>
      </c>
      <c r="N444" t="s">
        <v>35</v>
      </c>
      <c r="O444" t="str">
        <f t="shared" si="14"/>
        <v>True</v>
      </c>
      <c r="P444" s="3">
        <v>102601</v>
      </c>
      <c r="Q444" s="3">
        <v>0</v>
      </c>
      <c r="R444" s="3">
        <v>0</v>
      </c>
      <c r="S444" s="3">
        <v>10698.930897114689</v>
      </c>
      <c r="T444" s="3">
        <v>4593.5069087706306</v>
      </c>
      <c r="U444">
        <v>0.1891448506216688</v>
      </c>
      <c r="V444" s="3">
        <v>-10730.861824587389</v>
      </c>
      <c r="W444">
        <v>22.336093541972989</v>
      </c>
      <c r="X444">
        <v>3.5708303374400532</v>
      </c>
      <c r="Y444">
        <v>1.533109614672072</v>
      </c>
      <c r="Z444" s="5">
        <v>0.30037767470944421</v>
      </c>
      <c r="AA444">
        <v>11.518807540129201</v>
      </c>
      <c r="AB444">
        <v>45.200384018228519</v>
      </c>
      <c r="AC444">
        <v>19.406450818633839</v>
      </c>
      <c r="AD444" s="5">
        <v>0.30037767470944438</v>
      </c>
      <c r="AE444">
        <v>145.80769038138229</v>
      </c>
      <c r="AF444">
        <v>62.601454253657558</v>
      </c>
      <c r="AG444">
        <v>4.9455148860389464</v>
      </c>
      <c r="AH444" t="str">
        <f t="shared" si="13"/>
        <v>True</v>
      </c>
      <c r="AI444">
        <v>1</v>
      </c>
    </row>
    <row r="445" spans="1:35" x14ac:dyDescent="0.35">
      <c r="A445" t="s">
        <v>533</v>
      </c>
      <c r="B445" t="s">
        <v>534</v>
      </c>
      <c r="C445" t="s">
        <v>33</v>
      </c>
      <c r="D445" t="s">
        <v>34</v>
      </c>
      <c r="E445" t="s">
        <v>52</v>
      </c>
      <c r="F445" t="s">
        <v>34</v>
      </c>
      <c r="G445" t="s">
        <v>35</v>
      </c>
      <c r="H445" t="s">
        <v>35</v>
      </c>
      <c r="I445" t="s">
        <v>35</v>
      </c>
      <c r="J445" t="s">
        <v>35</v>
      </c>
      <c r="K445" t="s">
        <v>35</v>
      </c>
      <c r="L445" t="s">
        <v>35</v>
      </c>
      <c r="M445" t="s">
        <v>35</v>
      </c>
      <c r="N445" t="s">
        <v>35</v>
      </c>
      <c r="O445" t="str">
        <f t="shared" si="14"/>
        <v>False</v>
      </c>
      <c r="P445" s="3">
        <v>0</v>
      </c>
      <c r="Q445" s="3">
        <v>0</v>
      </c>
      <c r="R445" s="3">
        <v>0</v>
      </c>
      <c r="S445" s="3">
        <v>17734.340360744511</v>
      </c>
      <c r="T445" s="3">
        <v>0</v>
      </c>
      <c r="U445">
        <v>0</v>
      </c>
      <c r="V445" s="3">
        <v>0</v>
      </c>
      <c r="W445">
        <v>0</v>
      </c>
      <c r="X445">
        <v>7.0937361442978029</v>
      </c>
      <c r="Y445">
        <v>0</v>
      </c>
      <c r="Z445" s="5">
        <v>0</v>
      </c>
      <c r="AA445">
        <v>7.5868835767890941</v>
      </c>
      <c r="AB445">
        <v>89.794128408832947</v>
      </c>
      <c r="AC445">
        <v>0</v>
      </c>
      <c r="AD445" s="5">
        <v>0</v>
      </c>
      <c r="AE445">
        <v>96.03650097201384</v>
      </c>
      <c r="AF445">
        <v>0</v>
      </c>
      <c r="AG445">
        <v>0</v>
      </c>
      <c r="AH445" t="str">
        <f t="shared" si="13"/>
        <v>False</v>
      </c>
      <c r="AI445">
        <v>0</v>
      </c>
    </row>
    <row r="446" spans="1:35" x14ac:dyDescent="0.35">
      <c r="A446" t="s">
        <v>535</v>
      </c>
      <c r="B446" t="s">
        <v>536</v>
      </c>
      <c r="C446" t="s">
        <v>232</v>
      </c>
      <c r="D446" t="s">
        <v>422</v>
      </c>
      <c r="E446" t="s">
        <v>39</v>
      </c>
      <c r="F446" t="s">
        <v>422</v>
      </c>
      <c r="G446" t="s">
        <v>35</v>
      </c>
      <c r="H446" t="s">
        <v>35</v>
      </c>
      <c r="I446" t="s">
        <v>35</v>
      </c>
      <c r="J446" t="s">
        <v>35</v>
      </c>
      <c r="K446" t="s">
        <v>35</v>
      </c>
      <c r="L446" t="s">
        <v>35</v>
      </c>
      <c r="M446" t="s">
        <v>35</v>
      </c>
      <c r="N446" t="s">
        <v>35</v>
      </c>
      <c r="O446" t="str">
        <f t="shared" si="14"/>
        <v>False</v>
      </c>
      <c r="P446" s="3">
        <v>0</v>
      </c>
      <c r="Q446" s="3">
        <v>104706.5411724142</v>
      </c>
      <c r="R446" s="3">
        <v>0</v>
      </c>
      <c r="S446" s="3">
        <v>255567.1272852601</v>
      </c>
      <c r="T446" s="3">
        <v>0</v>
      </c>
      <c r="U446">
        <v>0</v>
      </c>
      <c r="V446" s="3">
        <v>0</v>
      </c>
      <c r="W446">
        <v>0</v>
      </c>
      <c r="X446">
        <v>147.10108284513871</v>
      </c>
      <c r="Y446">
        <v>2.8421709430404007E-14</v>
      </c>
      <c r="Z446" s="5">
        <v>1.9321210205043209E-16</v>
      </c>
      <c r="AA446">
        <v>24.57829287303904</v>
      </c>
      <c r="AB446">
        <v>2789.8185020990959</v>
      </c>
      <c r="AC446">
        <v>0</v>
      </c>
      <c r="AD446" s="5">
        <v>0</v>
      </c>
      <c r="AE446">
        <v>466.13508807002438</v>
      </c>
      <c r="AF446">
        <v>0</v>
      </c>
      <c r="AG446">
        <v>-3.5527136788005009E-15</v>
      </c>
      <c r="AH446" t="str">
        <f t="shared" si="13"/>
        <v>False</v>
      </c>
      <c r="AI446">
        <v>0</v>
      </c>
    </row>
    <row r="447" spans="1:35" x14ac:dyDescent="0.35">
      <c r="A447" t="s">
        <v>537</v>
      </c>
      <c r="B447" t="s">
        <v>536</v>
      </c>
      <c r="C447" t="s">
        <v>232</v>
      </c>
      <c r="D447" t="s">
        <v>422</v>
      </c>
      <c r="E447" t="s">
        <v>39</v>
      </c>
      <c r="F447" t="s">
        <v>422</v>
      </c>
      <c r="G447" t="s">
        <v>35</v>
      </c>
      <c r="H447" t="s">
        <v>35</v>
      </c>
      <c r="I447" t="s">
        <v>35</v>
      </c>
      <c r="J447" t="s">
        <v>35</v>
      </c>
      <c r="K447" t="s">
        <v>37</v>
      </c>
      <c r="L447" t="s">
        <v>35</v>
      </c>
      <c r="M447" t="s">
        <v>35</v>
      </c>
      <c r="N447" t="s">
        <v>35</v>
      </c>
      <c r="O447" t="str">
        <f t="shared" si="14"/>
        <v>False</v>
      </c>
      <c r="P447" s="3">
        <v>358316.06430169212</v>
      </c>
      <c r="Q447" s="3">
        <v>101450.4424574833</v>
      </c>
      <c r="R447" s="3">
        <v>3256.0987149308112</v>
      </c>
      <c r="S447" s="3">
        <v>252193.64120509461</v>
      </c>
      <c r="T447" s="3">
        <v>3373.48608016546</v>
      </c>
      <c r="U447">
        <v>0.17748754365667899</v>
      </c>
      <c r="V447" s="3">
        <v>-225724.36839976671</v>
      </c>
      <c r="W447">
        <v>54.048040017035319</v>
      </c>
      <c r="X447">
        <v>144.35621753524501</v>
      </c>
      <c r="Y447">
        <v>2.7448653098937261</v>
      </c>
      <c r="Z447" s="5">
        <v>1.8659721987113999E-2</v>
      </c>
      <c r="AA447">
        <v>24.119668761110269</v>
      </c>
      <c r="AB447">
        <v>2726.2218639934599</v>
      </c>
      <c r="AC447">
        <v>63.596638105635982</v>
      </c>
      <c r="AD447" s="5">
        <v>2.2795976891609601E-2</v>
      </c>
      <c r="AE447">
        <v>455.50908337401171</v>
      </c>
      <c r="AF447">
        <v>10.626004696012689</v>
      </c>
      <c r="AG447">
        <v>0.45862411192876712</v>
      </c>
      <c r="AH447" t="str">
        <f t="shared" si="13"/>
        <v>False</v>
      </c>
      <c r="AI447">
        <v>9</v>
      </c>
    </row>
    <row r="448" spans="1:35" x14ac:dyDescent="0.35">
      <c r="A448" t="s">
        <v>538</v>
      </c>
      <c r="B448" t="s">
        <v>539</v>
      </c>
      <c r="C448" t="s">
        <v>465</v>
      </c>
      <c r="D448" t="s">
        <v>34</v>
      </c>
      <c r="E448" t="s">
        <v>52</v>
      </c>
      <c r="F448" t="s">
        <v>34</v>
      </c>
      <c r="G448" t="s">
        <v>35</v>
      </c>
      <c r="H448" t="s">
        <v>35</v>
      </c>
      <c r="I448" t="s">
        <v>35</v>
      </c>
      <c r="J448" t="s">
        <v>35</v>
      </c>
      <c r="K448" t="s">
        <v>35</v>
      </c>
      <c r="L448" t="s">
        <v>35</v>
      </c>
      <c r="M448" t="s">
        <v>35</v>
      </c>
      <c r="N448" t="s">
        <v>35</v>
      </c>
      <c r="O448" t="str">
        <f t="shared" si="14"/>
        <v>False</v>
      </c>
      <c r="P448" s="3">
        <v>0</v>
      </c>
      <c r="Q448" s="3">
        <v>75678.495335152154</v>
      </c>
      <c r="R448" s="3">
        <v>0</v>
      </c>
      <c r="S448" s="3">
        <v>248426.65369107181</v>
      </c>
      <c r="T448" s="3">
        <v>0</v>
      </c>
      <c r="U448">
        <v>0</v>
      </c>
      <c r="V448" s="3">
        <v>0</v>
      </c>
      <c r="W448">
        <v>0</v>
      </c>
      <c r="X448">
        <v>131.80430233435109</v>
      </c>
      <c r="Y448">
        <v>0</v>
      </c>
      <c r="Z448" s="5">
        <v>0</v>
      </c>
      <c r="AA448">
        <v>10.85166329115355</v>
      </c>
      <c r="AB448">
        <v>2338.9778363159189</v>
      </c>
      <c r="AC448">
        <v>0</v>
      </c>
      <c r="AD448" s="5">
        <v>0</v>
      </c>
      <c r="AE448">
        <v>192.57186203819521</v>
      </c>
      <c r="AF448">
        <v>0</v>
      </c>
      <c r="AG448">
        <v>-5.3290705182007514E-15</v>
      </c>
      <c r="AH448" t="str">
        <f t="shared" si="13"/>
        <v>False</v>
      </c>
      <c r="AI448">
        <v>0</v>
      </c>
    </row>
    <row r="449" spans="1:35" x14ac:dyDescent="0.35">
      <c r="A449" t="s">
        <v>540</v>
      </c>
      <c r="B449" t="s">
        <v>541</v>
      </c>
      <c r="C449" t="s">
        <v>63</v>
      </c>
      <c r="D449" t="s">
        <v>39</v>
      </c>
      <c r="E449" t="s">
        <v>77</v>
      </c>
      <c r="F449" t="s">
        <v>39</v>
      </c>
      <c r="G449" t="s">
        <v>35</v>
      </c>
      <c r="H449" t="s">
        <v>35</v>
      </c>
      <c r="I449" t="s">
        <v>35</v>
      </c>
      <c r="J449" t="s">
        <v>35</v>
      </c>
      <c r="K449" t="s">
        <v>35</v>
      </c>
      <c r="L449" t="s">
        <v>35</v>
      </c>
      <c r="M449" t="s">
        <v>35</v>
      </c>
      <c r="N449" t="s">
        <v>35</v>
      </c>
      <c r="O449" t="str">
        <f t="shared" si="14"/>
        <v>False</v>
      </c>
      <c r="P449" s="3">
        <v>0</v>
      </c>
      <c r="Q449" s="3">
        <v>0</v>
      </c>
      <c r="R449" s="3">
        <v>0</v>
      </c>
      <c r="S449" s="3">
        <v>5267.5895491382389</v>
      </c>
      <c r="T449" s="3">
        <v>0</v>
      </c>
      <c r="U449">
        <v>0</v>
      </c>
      <c r="V449" s="3">
        <v>0</v>
      </c>
      <c r="W449">
        <v>0</v>
      </c>
      <c r="X449">
        <v>1.7580886116684451</v>
      </c>
      <c r="Y449">
        <v>4.4408920985006262E-16</v>
      </c>
      <c r="Z449" s="5">
        <v>2.5259773989925178E-16</v>
      </c>
      <c r="AA449">
        <v>4.3952215291711116</v>
      </c>
      <c r="AB449">
        <v>22.254286223651199</v>
      </c>
      <c r="AC449">
        <v>0</v>
      </c>
      <c r="AD449" s="5">
        <v>0</v>
      </c>
      <c r="AE449">
        <v>55.635715559128002</v>
      </c>
      <c r="AF449">
        <v>0</v>
      </c>
      <c r="AG449">
        <v>0</v>
      </c>
      <c r="AH449" t="str">
        <f t="shared" si="13"/>
        <v>False</v>
      </c>
      <c r="AI449">
        <v>0</v>
      </c>
    </row>
    <row r="450" spans="1:35" x14ac:dyDescent="0.35">
      <c r="A450" t="s">
        <v>542</v>
      </c>
      <c r="B450" t="s">
        <v>541</v>
      </c>
      <c r="C450" t="s">
        <v>63</v>
      </c>
      <c r="D450" t="s">
        <v>39</v>
      </c>
      <c r="E450" t="s">
        <v>77</v>
      </c>
      <c r="F450" t="s">
        <v>39</v>
      </c>
      <c r="G450" t="s">
        <v>37</v>
      </c>
      <c r="H450" t="s">
        <v>35</v>
      </c>
      <c r="I450" t="s">
        <v>35</v>
      </c>
      <c r="J450" t="s">
        <v>35</v>
      </c>
      <c r="K450" t="s">
        <v>35</v>
      </c>
      <c r="L450" t="s">
        <v>35</v>
      </c>
      <c r="M450" t="s">
        <v>35</v>
      </c>
      <c r="N450" t="s">
        <v>35</v>
      </c>
      <c r="O450" t="str">
        <f t="shared" si="14"/>
        <v>False</v>
      </c>
      <c r="P450" s="3">
        <v>11619.203777770879</v>
      </c>
      <c r="Q450" s="3">
        <v>0</v>
      </c>
      <c r="R450" s="3">
        <v>0</v>
      </c>
      <c r="S450" s="3">
        <v>5168.9740193664729</v>
      </c>
      <c r="T450" s="3">
        <v>98.615529771766063</v>
      </c>
      <c r="U450">
        <v>3.5856730394038097E-2</v>
      </c>
      <c r="V450" s="3">
        <v>-9646.8931823355579</v>
      </c>
      <c r="W450">
        <v>117.8232658148483</v>
      </c>
      <c r="X450">
        <v>1.7251751057454641</v>
      </c>
      <c r="Y450">
        <v>3.2913505922981E-2</v>
      </c>
      <c r="Z450" s="5">
        <v>1.8721187148664602E-2</v>
      </c>
      <c r="AA450">
        <v>4.3129377643636602</v>
      </c>
      <c r="AB450">
        <v>21.83765956639828</v>
      </c>
      <c r="AC450">
        <v>0.41662665725291959</v>
      </c>
      <c r="AD450" s="5">
        <v>1.87211871486644E-2</v>
      </c>
      <c r="AE450">
        <v>54.594148915995703</v>
      </c>
      <c r="AF450">
        <v>1.041566643132299</v>
      </c>
      <c r="AG450">
        <v>8.2283764807451407E-2</v>
      </c>
      <c r="AH450" t="str">
        <f t="shared" si="13"/>
        <v>True</v>
      </c>
      <c r="AI450">
        <v>1</v>
      </c>
    </row>
    <row r="451" spans="1:35" x14ac:dyDescent="0.35">
      <c r="A451" t="s">
        <v>543</v>
      </c>
      <c r="B451" t="s">
        <v>541</v>
      </c>
      <c r="C451" t="s">
        <v>63</v>
      </c>
      <c r="D451" t="s">
        <v>39</v>
      </c>
      <c r="E451" t="s">
        <v>77</v>
      </c>
      <c r="F451" t="s">
        <v>39</v>
      </c>
      <c r="G451" t="s">
        <v>37</v>
      </c>
      <c r="H451" t="s">
        <v>35</v>
      </c>
      <c r="I451" t="s">
        <v>35</v>
      </c>
      <c r="J451" t="s">
        <v>35</v>
      </c>
      <c r="K451" t="s">
        <v>35</v>
      </c>
      <c r="L451" t="s">
        <v>37</v>
      </c>
      <c r="M451" t="s">
        <v>35</v>
      </c>
      <c r="N451" t="s">
        <v>35</v>
      </c>
      <c r="O451" t="str">
        <f t="shared" si="14"/>
        <v>True</v>
      </c>
      <c r="P451" s="3">
        <v>89366.683421914204</v>
      </c>
      <c r="Q451" s="3">
        <v>0</v>
      </c>
      <c r="R451" s="3">
        <v>0</v>
      </c>
      <c r="S451" s="3">
        <v>4763.4071242173104</v>
      </c>
      <c r="T451" s="3">
        <v>504.1824249209285</v>
      </c>
      <c r="U451">
        <v>2.3834925790624299E-2</v>
      </c>
      <c r="V451" s="3">
        <v>-79283.034923495637</v>
      </c>
      <c r="W451">
        <v>177.25069142568719</v>
      </c>
      <c r="X451">
        <v>1.5898147985347171</v>
      </c>
      <c r="Y451">
        <v>0.168273813133728</v>
      </c>
      <c r="Z451" s="5">
        <v>9.5714068117439405E-2</v>
      </c>
      <c r="AA451">
        <v>3.9745369963367931</v>
      </c>
      <c r="AB451">
        <v>20.124237956135659</v>
      </c>
      <c r="AC451">
        <v>2.1300482675155412</v>
      </c>
      <c r="AD451" s="5">
        <v>9.5714068117439197E-2</v>
      </c>
      <c r="AE451">
        <v>50.310594890339154</v>
      </c>
      <c r="AF451">
        <v>5.3251206687888519</v>
      </c>
      <c r="AG451">
        <v>0.42068453283431889</v>
      </c>
      <c r="AH451" t="str">
        <f t="shared" ref="AH451:AH514" si="15">IF(OR(G451="True",I451="True",J451="True"),"True","False")</f>
        <v>True</v>
      </c>
      <c r="AI451">
        <v>2</v>
      </c>
    </row>
    <row r="452" spans="1:35" x14ac:dyDescent="0.35">
      <c r="A452" t="s">
        <v>544</v>
      </c>
      <c r="B452" t="s">
        <v>541</v>
      </c>
      <c r="C452" t="s">
        <v>63</v>
      </c>
      <c r="D452" t="s">
        <v>39</v>
      </c>
      <c r="E452" t="s">
        <v>77</v>
      </c>
      <c r="F452" t="s">
        <v>39</v>
      </c>
      <c r="G452" t="s">
        <v>35</v>
      </c>
      <c r="H452" t="s">
        <v>35</v>
      </c>
      <c r="I452" t="s">
        <v>35</v>
      </c>
      <c r="J452" t="s">
        <v>35</v>
      </c>
      <c r="K452" t="s">
        <v>35</v>
      </c>
      <c r="L452" t="s">
        <v>37</v>
      </c>
      <c r="M452" t="s">
        <v>35</v>
      </c>
      <c r="N452" t="s">
        <v>35</v>
      </c>
      <c r="O452" t="str">
        <f t="shared" si="14"/>
        <v>False</v>
      </c>
      <c r="P452" s="3">
        <v>77747.479644143328</v>
      </c>
      <c r="Q452" s="3">
        <v>0</v>
      </c>
      <c r="R452" s="3">
        <v>0</v>
      </c>
      <c r="S452" s="3">
        <v>4856.3561492769204</v>
      </c>
      <c r="T452" s="3">
        <v>411.23339986131811</v>
      </c>
      <c r="U452">
        <v>2.23462062576971E-2</v>
      </c>
      <c r="V452" s="3">
        <v>-69522.811646916962</v>
      </c>
      <c r="W452">
        <v>189.0592536266812</v>
      </c>
      <c r="X452">
        <v>1.6208370755930579</v>
      </c>
      <c r="Y452">
        <v>0.1372515360753874</v>
      </c>
      <c r="Z452" s="5">
        <v>7.8068611083905601E-2</v>
      </c>
      <c r="AA452">
        <v>4.0520926889826443</v>
      </c>
      <c r="AB452">
        <v>20.516925007507059</v>
      </c>
      <c r="AC452">
        <v>1.737361216144141</v>
      </c>
      <c r="AD452" s="5">
        <v>7.8068611083905406E-2</v>
      </c>
      <c r="AE452">
        <v>51.292312518767652</v>
      </c>
      <c r="AF452">
        <v>4.3434030403603519</v>
      </c>
      <c r="AG452">
        <v>0.34312884018846729</v>
      </c>
      <c r="AH452" t="str">
        <f t="shared" si="15"/>
        <v>False</v>
      </c>
      <c r="AI452">
        <v>2</v>
      </c>
    </row>
    <row r="453" spans="1:35" x14ac:dyDescent="0.35">
      <c r="A453" t="s">
        <v>545</v>
      </c>
      <c r="B453" t="s">
        <v>541</v>
      </c>
      <c r="C453" t="s">
        <v>63</v>
      </c>
      <c r="D453" t="s">
        <v>39</v>
      </c>
      <c r="E453" t="s">
        <v>77</v>
      </c>
      <c r="F453" t="s">
        <v>39</v>
      </c>
      <c r="G453" t="s">
        <v>37</v>
      </c>
      <c r="H453" t="s">
        <v>35</v>
      </c>
      <c r="I453" t="s">
        <v>35</v>
      </c>
      <c r="J453" t="s">
        <v>35</v>
      </c>
      <c r="K453" t="s">
        <v>37</v>
      </c>
      <c r="L453" t="s">
        <v>35</v>
      </c>
      <c r="M453" t="s">
        <v>35</v>
      </c>
      <c r="N453" t="s">
        <v>35</v>
      </c>
      <c r="O453" t="str">
        <f t="shared" ref="O453:O516" si="16">IF(COUNTIF(G453:N453,"True")&gt;1, "True", "False")</f>
        <v>True</v>
      </c>
      <c r="P453" s="3">
        <v>40888.843173213078</v>
      </c>
      <c r="Q453" s="3">
        <v>0</v>
      </c>
      <c r="R453" s="3">
        <v>0</v>
      </c>
      <c r="S453" s="3">
        <v>5052.1135424721188</v>
      </c>
      <c r="T453" s="3">
        <v>215.47600666612021</v>
      </c>
      <c r="U453">
        <v>2.22636228693345E-2</v>
      </c>
      <c r="V453" s="3">
        <v>-36579.323039890667</v>
      </c>
      <c r="W453">
        <v>189.7605390310128</v>
      </c>
      <c r="X453">
        <v>1.6861722427346739</v>
      </c>
      <c r="Y453">
        <v>7.1916368933770902E-2</v>
      </c>
      <c r="Z453" s="5">
        <v>4.0905997829950899E-2</v>
      </c>
      <c r="AA453">
        <v>4.2154306068366854</v>
      </c>
      <c r="AB453">
        <v>21.34395243967942</v>
      </c>
      <c r="AC453">
        <v>0.91033378397177955</v>
      </c>
      <c r="AD453" s="5">
        <v>4.0905997829950698E-2</v>
      </c>
      <c r="AE453">
        <v>53.359881099198553</v>
      </c>
      <c r="AF453">
        <v>2.2758344599294489</v>
      </c>
      <c r="AG453">
        <v>0.17979092233442631</v>
      </c>
      <c r="AH453" t="str">
        <f t="shared" si="15"/>
        <v>True</v>
      </c>
      <c r="AI453">
        <v>1</v>
      </c>
    </row>
    <row r="454" spans="1:35" x14ac:dyDescent="0.35">
      <c r="A454" t="s">
        <v>546</v>
      </c>
      <c r="B454" t="s">
        <v>541</v>
      </c>
      <c r="C454" t="s">
        <v>63</v>
      </c>
      <c r="D454" t="s">
        <v>39</v>
      </c>
      <c r="E454" t="s">
        <v>77</v>
      </c>
      <c r="F454" t="s">
        <v>39</v>
      </c>
      <c r="G454" t="s">
        <v>37</v>
      </c>
      <c r="H454" t="s">
        <v>35</v>
      </c>
      <c r="I454" t="s">
        <v>35</v>
      </c>
      <c r="J454" t="s">
        <v>35</v>
      </c>
      <c r="K454" t="s">
        <v>37</v>
      </c>
      <c r="L454" t="s">
        <v>37</v>
      </c>
      <c r="M454" t="s">
        <v>35</v>
      </c>
      <c r="N454" t="s">
        <v>35</v>
      </c>
      <c r="O454" t="str">
        <f t="shared" si="16"/>
        <v>True</v>
      </c>
      <c r="P454" s="3">
        <v>118636.3228173564</v>
      </c>
      <c r="Q454" s="3">
        <v>0</v>
      </c>
      <c r="R454" s="3">
        <v>0</v>
      </c>
      <c r="S454" s="3">
        <v>4658.6075958773454</v>
      </c>
      <c r="T454" s="3">
        <v>608.98195326089353</v>
      </c>
      <c r="U454">
        <v>2.1686451125438301E-2</v>
      </c>
      <c r="V454" s="3">
        <v>-106456.6837521385</v>
      </c>
      <c r="W454">
        <v>194.81090068777701</v>
      </c>
      <c r="X454">
        <v>1.5548373471664989</v>
      </c>
      <c r="Y454">
        <v>0.20325126450194619</v>
      </c>
      <c r="Z454" s="5">
        <v>0.1156092264934579</v>
      </c>
      <c r="AA454">
        <v>3.8870933679162469</v>
      </c>
      <c r="AB454">
        <v>19.681485407170872</v>
      </c>
      <c r="AC454">
        <v>2.5728008164803282</v>
      </c>
      <c r="AD454" s="5">
        <v>0.1156092264934577</v>
      </c>
      <c r="AE454">
        <v>49.203713517927177</v>
      </c>
      <c r="AF454">
        <v>6.4320020412008194</v>
      </c>
      <c r="AG454">
        <v>0.50812816125486471</v>
      </c>
      <c r="AH454" t="str">
        <f t="shared" si="15"/>
        <v>True</v>
      </c>
      <c r="AI454">
        <v>2</v>
      </c>
    </row>
    <row r="455" spans="1:35" x14ac:dyDescent="0.35">
      <c r="A455" t="s">
        <v>547</v>
      </c>
      <c r="B455" t="s">
        <v>541</v>
      </c>
      <c r="C455" t="s">
        <v>63</v>
      </c>
      <c r="D455" t="s">
        <v>39</v>
      </c>
      <c r="E455" t="s">
        <v>77</v>
      </c>
      <c r="F455" t="s">
        <v>39</v>
      </c>
      <c r="G455" t="s">
        <v>35</v>
      </c>
      <c r="H455" t="s">
        <v>35</v>
      </c>
      <c r="I455" t="s">
        <v>35</v>
      </c>
      <c r="J455" t="s">
        <v>35</v>
      </c>
      <c r="K455" t="s">
        <v>37</v>
      </c>
      <c r="L455" t="s">
        <v>37</v>
      </c>
      <c r="M455" t="s">
        <v>35</v>
      </c>
      <c r="N455" t="s">
        <v>35</v>
      </c>
      <c r="O455" t="str">
        <f t="shared" si="16"/>
        <v>True</v>
      </c>
      <c r="P455" s="3">
        <v>107017.11903958549</v>
      </c>
      <c r="Q455" s="3">
        <v>0</v>
      </c>
      <c r="R455" s="3">
        <v>0</v>
      </c>
      <c r="S455" s="3">
        <v>4748.1647746663193</v>
      </c>
      <c r="T455" s="3">
        <v>519.42477447191902</v>
      </c>
      <c r="U455">
        <v>2.05055369770453E-2</v>
      </c>
      <c r="V455" s="3">
        <v>-96628.623550147124</v>
      </c>
      <c r="W455">
        <v>206.03006306040379</v>
      </c>
      <c r="X455">
        <v>1.584727575828641</v>
      </c>
      <c r="Y455">
        <v>0.17336103583980431</v>
      </c>
      <c r="Z455" s="5">
        <v>9.8607678071063104E-2</v>
      </c>
      <c r="AA455">
        <v>3.9618189395716019</v>
      </c>
      <c r="AB455">
        <v>20.059842732008111</v>
      </c>
      <c r="AC455">
        <v>2.1944434916430891</v>
      </c>
      <c r="AD455" s="5">
        <v>9.8607678071062896E-2</v>
      </c>
      <c r="AE455">
        <v>50.149606830020282</v>
      </c>
      <c r="AF455">
        <v>5.4861087291077224</v>
      </c>
      <c r="AG455">
        <v>0.43340258959950972</v>
      </c>
      <c r="AH455" t="str">
        <f t="shared" si="15"/>
        <v>False</v>
      </c>
      <c r="AI455">
        <v>2</v>
      </c>
    </row>
    <row r="456" spans="1:35" x14ac:dyDescent="0.35">
      <c r="A456" t="s">
        <v>548</v>
      </c>
      <c r="B456" t="s">
        <v>541</v>
      </c>
      <c r="C456" t="s">
        <v>63</v>
      </c>
      <c r="D456" t="s">
        <v>39</v>
      </c>
      <c r="E456" t="s">
        <v>77</v>
      </c>
      <c r="F456" t="s">
        <v>39</v>
      </c>
      <c r="G456" t="s">
        <v>35</v>
      </c>
      <c r="H456" t="s">
        <v>35</v>
      </c>
      <c r="I456" t="s">
        <v>35</v>
      </c>
      <c r="J456" t="s">
        <v>35</v>
      </c>
      <c r="K456" t="s">
        <v>37</v>
      </c>
      <c r="L456" t="s">
        <v>35</v>
      </c>
      <c r="M456" t="s">
        <v>35</v>
      </c>
      <c r="N456" t="s">
        <v>35</v>
      </c>
      <c r="O456" t="str">
        <f t="shared" si="16"/>
        <v>False</v>
      </c>
      <c r="P456" s="3">
        <v>29269.639395442198</v>
      </c>
      <c r="Q456" s="3">
        <v>0</v>
      </c>
      <c r="R456" s="3">
        <v>0</v>
      </c>
      <c r="S456" s="3">
        <v>5149.3413291704892</v>
      </c>
      <c r="T456" s="3">
        <v>118.24821996774971</v>
      </c>
      <c r="U456">
        <v>1.7067856468580101E-2</v>
      </c>
      <c r="V456" s="3">
        <v>-26904.6749960872</v>
      </c>
      <c r="W456">
        <v>247.52710360819819</v>
      </c>
      <c r="X456">
        <v>1.718622581345453</v>
      </c>
      <c r="Y456">
        <v>3.9466030322992299E-2</v>
      </c>
      <c r="Z456" s="5">
        <v>2.2448260037097101E-2</v>
      </c>
      <c r="AA456">
        <v>4.2965564533636318</v>
      </c>
      <c r="AB456">
        <v>21.754716219562692</v>
      </c>
      <c r="AC456">
        <v>0.4995700040885076</v>
      </c>
      <c r="AD456" s="5">
        <v>2.2448260037097E-2</v>
      </c>
      <c r="AE456">
        <v>54.386790548906731</v>
      </c>
      <c r="AF456">
        <v>1.248925010221269</v>
      </c>
      <c r="AG456">
        <v>9.8665075807479796E-2</v>
      </c>
      <c r="AH456" t="str">
        <f t="shared" si="15"/>
        <v>False</v>
      </c>
      <c r="AI456">
        <v>1</v>
      </c>
    </row>
    <row r="457" spans="1:35" x14ac:dyDescent="0.35">
      <c r="A457" t="s">
        <v>549</v>
      </c>
      <c r="B457" t="s">
        <v>541</v>
      </c>
      <c r="C457" t="s">
        <v>63</v>
      </c>
      <c r="D457" t="s">
        <v>39</v>
      </c>
      <c r="E457" t="s">
        <v>77</v>
      </c>
      <c r="F457" t="s">
        <v>39</v>
      </c>
      <c r="G457" t="s">
        <v>37</v>
      </c>
      <c r="H457" t="s">
        <v>35</v>
      </c>
      <c r="I457" t="s">
        <v>37</v>
      </c>
      <c r="J457" t="s">
        <v>35</v>
      </c>
      <c r="K457" t="s">
        <v>35</v>
      </c>
      <c r="L457" t="s">
        <v>37</v>
      </c>
      <c r="M457" t="s">
        <v>35</v>
      </c>
      <c r="N457" t="s">
        <v>35</v>
      </c>
      <c r="O457" t="str">
        <f t="shared" si="16"/>
        <v>True</v>
      </c>
      <c r="P457" s="3">
        <v>189451.67680927401</v>
      </c>
      <c r="Q457" s="3">
        <v>0</v>
      </c>
      <c r="R457" s="3">
        <v>0</v>
      </c>
      <c r="S457" s="3">
        <v>4586.6059063069424</v>
      </c>
      <c r="T457" s="3">
        <v>680.98364283129717</v>
      </c>
      <c r="U457">
        <v>1.5185880180447701E-2</v>
      </c>
      <c r="V457" s="3">
        <v>-175832.00395264811</v>
      </c>
      <c r="W457">
        <v>278.20297712526349</v>
      </c>
      <c r="X457">
        <v>1.530806365011611</v>
      </c>
      <c r="Y457">
        <v>0.2272822466568338</v>
      </c>
      <c r="Z457" s="5">
        <v>0.12927803817643779</v>
      </c>
      <c r="AA457">
        <v>3.8270159125290282</v>
      </c>
      <c r="AB457">
        <v>19.377295759640649</v>
      </c>
      <c r="AC457">
        <v>2.8769904640105501</v>
      </c>
      <c r="AD457" s="5">
        <v>0.12927803817643771</v>
      </c>
      <c r="AE457">
        <v>48.443239399101621</v>
      </c>
      <c r="AF457">
        <v>7.1924761600263754</v>
      </c>
      <c r="AG457">
        <v>0.56820561664208347</v>
      </c>
      <c r="AH457" t="str">
        <f t="shared" si="15"/>
        <v>True</v>
      </c>
      <c r="AI457">
        <v>2</v>
      </c>
    </row>
    <row r="458" spans="1:35" x14ac:dyDescent="0.35">
      <c r="A458" t="s">
        <v>550</v>
      </c>
      <c r="B458" t="s">
        <v>541</v>
      </c>
      <c r="C458" t="s">
        <v>63</v>
      </c>
      <c r="D458" t="s">
        <v>52</v>
      </c>
      <c r="E458" t="s">
        <v>77</v>
      </c>
      <c r="F458" t="s">
        <v>52</v>
      </c>
      <c r="G458" t="s">
        <v>37</v>
      </c>
      <c r="H458" t="s">
        <v>35</v>
      </c>
      <c r="I458" t="s">
        <v>37</v>
      </c>
      <c r="J458" t="s">
        <v>35</v>
      </c>
      <c r="K458" t="s">
        <v>37</v>
      </c>
      <c r="L458" t="s">
        <v>37</v>
      </c>
      <c r="M458" t="s">
        <v>35</v>
      </c>
      <c r="N458" t="s">
        <v>35</v>
      </c>
      <c r="O458" t="str">
        <f t="shared" si="16"/>
        <v>True</v>
      </c>
      <c r="P458" s="3">
        <v>218721.31620471619</v>
      </c>
      <c r="Q458" s="3">
        <v>0</v>
      </c>
      <c r="R458" s="3">
        <v>0</v>
      </c>
      <c r="S458" s="3">
        <v>4485.8992894155854</v>
      </c>
      <c r="T458" s="3">
        <v>781.69025972265308</v>
      </c>
      <c r="U458">
        <v>1.5098900800681299E-2</v>
      </c>
      <c r="V458" s="3">
        <v>-203087.51101026309</v>
      </c>
      <c r="W458">
        <v>279.80560520521192</v>
      </c>
      <c r="X458">
        <v>1.497194946615257</v>
      </c>
      <c r="Y458">
        <v>0.26089366505318828</v>
      </c>
      <c r="Z458" s="5">
        <v>0.1483961976214597</v>
      </c>
      <c r="AA458">
        <v>3.7429873665381419</v>
      </c>
      <c r="AB458">
        <v>18.951834767281731</v>
      </c>
      <c r="AC458">
        <v>3.302451456369468</v>
      </c>
      <c r="AD458" s="5">
        <v>0.14839619762145961</v>
      </c>
      <c r="AE458">
        <v>47.379586918204332</v>
      </c>
      <c r="AF458">
        <v>8.25612864092367</v>
      </c>
      <c r="AG458">
        <v>0.65223416263296929</v>
      </c>
      <c r="AH458" t="str">
        <f t="shared" si="15"/>
        <v>True</v>
      </c>
      <c r="AI458">
        <v>2</v>
      </c>
    </row>
    <row r="459" spans="1:35" x14ac:dyDescent="0.35">
      <c r="A459" t="s">
        <v>551</v>
      </c>
      <c r="B459" t="s">
        <v>541</v>
      </c>
      <c r="C459" t="s">
        <v>63</v>
      </c>
      <c r="D459" t="s">
        <v>39</v>
      </c>
      <c r="E459" t="s">
        <v>77</v>
      </c>
      <c r="F459" t="s">
        <v>39</v>
      </c>
      <c r="G459" t="s">
        <v>35</v>
      </c>
      <c r="H459" t="s">
        <v>37</v>
      </c>
      <c r="I459" t="s">
        <v>35</v>
      </c>
      <c r="J459" t="s">
        <v>35</v>
      </c>
      <c r="K459" t="s">
        <v>37</v>
      </c>
      <c r="L459" t="s">
        <v>37</v>
      </c>
      <c r="M459" t="s">
        <v>35</v>
      </c>
      <c r="N459" t="s">
        <v>35</v>
      </c>
      <c r="O459" t="str">
        <f t="shared" si="16"/>
        <v>True</v>
      </c>
      <c r="P459" s="3">
        <v>134903.20810623569</v>
      </c>
      <c r="Q459" s="3">
        <v>0</v>
      </c>
      <c r="R459" s="3">
        <v>0</v>
      </c>
      <c r="S459" s="3">
        <v>4793.1968986231104</v>
      </c>
      <c r="T459" s="3">
        <v>474.39265051512842</v>
      </c>
      <c r="U459">
        <v>1.48565311042118E-2</v>
      </c>
      <c r="V459" s="3">
        <v>-125415.3550959331</v>
      </c>
      <c r="W459">
        <v>284.37035851999059</v>
      </c>
      <c r="X459">
        <v>1.5997573087926731</v>
      </c>
      <c r="Y459">
        <v>0.15833130287577199</v>
      </c>
      <c r="Z459" s="5">
        <v>9.0058772820053604E-2</v>
      </c>
      <c r="AA459">
        <v>3.999393271981682</v>
      </c>
      <c r="AB459">
        <v>20.250092516362951</v>
      </c>
      <c r="AC459">
        <v>2.0041937072882479</v>
      </c>
      <c r="AD459" s="5">
        <v>9.0058772820053395E-2</v>
      </c>
      <c r="AE459">
        <v>50.625231290907379</v>
      </c>
      <c r="AF459">
        <v>5.0104842682206208</v>
      </c>
      <c r="AG459">
        <v>0.39582825718942921</v>
      </c>
      <c r="AH459" t="str">
        <f t="shared" si="15"/>
        <v>False</v>
      </c>
      <c r="AI459">
        <v>2</v>
      </c>
    </row>
    <row r="460" spans="1:35" x14ac:dyDescent="0.35">
      <c r="A460" t="s">
        <v>552</v>
      </c>
      <c r="B460" t="s">
        <v>541</v>
      </c>
      <c r="C460" t="s">
        <v>63</v>
      </c>
      <c r="D460" t="s">
        <v>39</v>
      </c>
      <c r="E460" t="s">
        <v>77</v>
      </c>
      <c r="F460" t="s">
        <v>39</v>
      </c>
      <c r="G460" t="s">
        <v>35</v>
      </c>
      <c r="H460" t="s">
        <v>37</v>
      </c>
      <c r="I460" t="s">
        <v>35</v>
      </c>
      <c r="J460" t="s">
        <v>35</v>
      </c>
      <c r="K460" t="s">
        <v>35</v>
      </c>
      <c r="L460" t="s">
        <v>37</v>
      </c>
      <c r="M460" t="s">
        <v>35</v>
      </c>
      <c r="N460" t="s">
        <v>35</v>
      </c>
      <c r="O460" t="str">
        <f t="shared" si="16"/>
        <v>True</v>
      </c>
      <c r="P460" s="3">
        <v>105633.56871079349</v>
      </c>
      <c r="Q460" s="3">
        <v>0</v>
      </c>
      <c r="R460" s="3">
        <v>0</v>
      </c>
      <c r="S460" s="3">
        <v>4903.434272413574</v>
      </c>
      <c r="T460" s="3">
        <v>364.15527672466499</v>
      </c>
      <c r="U460">
        <v>1.4564192056104701E-2</v>
      </c>
      <c r="V460" s="3">
        <v>-98350.463176300196</v>
      </c>
      <c r="W460">
        <v>290.07836893343227</v>
      </c>
      <c r="X460">
        <v>1.6365496726686619</v>
      </c>
      <c r="Y460">
        <v>0.12153893899978301</v>
      </c>
      <c r="Z460" s="5">
        <v>6.9131293037864097E-2</v>
      </c>
      <c r="AA460">
        <v>4.0913741816716556</v>
      </c>
      <c r="AB460">
        <v>20.715818641375471</v>
      </c>
      <c r="AC460">
        <v>1.538467582275729</v>
      </c>
      <c r="AD460" s="5">
        <v>6.9131293037863903E-2</v>
      </c>
      <c r="AE460">
        <v>51.789546603438673</v>
      </c>
      <c r="AF460">
        <v>3.8461689556893219</v>
      </c>
      <c r="AG460">
        <v>0.30384734749945608</v>
      </c>
      <c r="AH460" t="str">
        <f t="shared" si="15"/>
        <v>False</v>
      </c>
      <c r="AI460">
        <v>2</v>
      </c>
    </row>
    <row r="461" spans="1:35" x14ac:dyDescent="0.35">
      <c r="A461" t="s">
        <v>553</v>
      </c>
      <c r="B461" t="s">
        <v>541</v>
      </c>
      <c r="C461" t="s">
        <v>63</v>
      </c>
      <c r="D461" t="s">
        <v>39</v>
      </c>
      <c r="E461" t="s">
        <v>77</v>
      </c>
      <c r="F461" t="s">
        <v>39</v>
      </c>
      <c r="G461" t="s">
        <v>35</v>
      </c>
      <c r="H461" t="s">
        <v>35</v>
      </c>
      <c r="I461" t="s">
        <v>37</v>
      </c>
      <c r="J461" t="s">
        <v>35</v>
      </c>
      <c r="K461" t="s">
        <v>37</v>
      </c>
      <c r="L461" t="s">
        <v>37</v>
      </c>
      <c r="M461" t="s">
        <v>35</v>
      </c>
      <c r="N461" t="s">
        <v>35</v>
      </c>
      <c r="O461" t="str">
        <f t="shared" si="16"/>
        <v>True</v>
      </c>
      <c r="P461" s="3">
        <v>207102.1124269453</v>
      </c>
      <c r="Q461" s="3">
        <v>0</v>
      </c>
      <c r="R461" s="3">
        <v>0</v>
      </c>
      <c r="S461" s="3">
        <v>4572.3018183129352</v>
      </c>
      <c r="T461" s="3">
        <v>695.28773082530336</v>
      </c>
      <c r="U461">
        <v>1.41834466416744E-2</v>
      </c>
      <c r="V461" s="3">
        <v>-193196.35781043919</v>
      </c>
      <c r="W461">
        <v>297.86533437188092</v>
      </c>
      <c r="X461">
        <v>1.526032292550578</v>
      </c>
      <c r="Y461">
        <v>0.23205631911786659</v>
      </c>
      <c r="Z461" s="5">
        <v>0.1319935284135893</v>
      </c>
      <c r="AA461">
        <v>3.8150807313764461</v>
      </c>
      <c r="AB461">
        <v>19.316864462665549</v>
      </c>
      <c r="AC461">
        <v>2.9374217609856501</v>
      </c>
      <c r="AD461" s="5">
        <v>0.13199352841358911</v>
      </c>
      <c r="AE461">
        <v>48.292161156663873</v>
      </c>
      <c r="AF461">
        <v>7.3435544024641253</v>
      </c>
      <c r="AG461">
        <v>0.58014079779466554</v>
      </c>
      <c r="AH461" t="str">
        <f t="shared" si="15"/>
        <v>True</v>
      </c>
      <c r="AI461">
        <v>2</v>
      </c>
    </row>
    <row r="462" spans="1:35" x14ac:dyDescent="0.35">
      <c r="A462" t="s">
        <v>554</v>
      </c>
      <c r="B462" t="s">
        <v>541</v>
      </c>
      <c r="C462" t="s">
        <v>63</v>
      </c>
      <c r="D462" t="s">
        <v>39</v>
      </c>
      <c r="E462" t="s">
        <v>77</v>
      </c>
      <c r="F462" t="s">
        <v>39</v>
      </c>
      <c r="G462" t="s">
        <v>35</v>
      </c>
      <c r="H462" t="s">
        <v>35</v>
      </c>
      <c r="I462" t="s">
        <v>37</v>
      </c>
      <c r="J462" t="s">
        <v>35</v>
      </c>
      <c r="K462" t="s">
        <v>35</v>
      </c>
      <c r="L462" t="s">
        <v>37</v>
      </c>
      <c r="M462" t="s">
        <v>35</v>
      </c>
      <c r="N462" t="s">
        <v>35</v>
      </c>
      <c r="O462" t="str">
        <f t="shared" si="16"/>
        <v>True</v>
      </c>
      <c r="P462" s="3">
        <v>177832.47303150309</v>
      </c>
      <c r="Q462" s="3">
        <v>0</v>
      </c>
      <c r="R462" s="3">
        <v>0</v>
      </c>
      <c r="S462" s="3">
        <v>4676.6404644128179</v>
      </c>
      <c r="T462" s="3">
        <v>590.94908472542068</v>
      </c>
      <c r="U462">
        <v>1.4039147546937501E-2</v>
      </c>
      <c r="V462" s="3">
        <v>-166013.49133699469</v>
      </c>
      <c r="W462">
        <v>300.92689476646098</v>
      </c>
      <c r="X462">
        <v>1.5608559217938851</v>
      </c>
      <c r="Y462">
        <v>0.1972326898745598</v>
      </c>
      <c r="Z462" s="5">
        <v>0.1121858639920225</v>
      </c>
      <c r="AA462">
        <v>3.9021398044847131</v>
      </c>
      <c r="AB462">
        <v>19.75766989612513</v>
      </c>
      <c r="AC462">
        <v>2.4966163275260702</v>
      </c>
      <c r="AD462" s="5">
        <v>0.11218586399202229</v>
      </c>
      <c r="AE462">
        <v>49.394174740312828</v>
      </c>
      <c r="AF462">
        <v>6.2415408188151744</v>
      </c>
      <c r="AG462">
        <v>0.49308172468639849</v>
      </c>
      <c r="AH462" t="str">
        <f t="shared" si="15"/>
        <v>True</v>
      </c>
      <c r="AI462">
        <v>2</v>
      </c>
    </row>
    <row r="463" spans="1:35" x14ac:dyDescent="0.35">
      <c r="A463" t="s">
        <v>555</v>
      </c>
      <c r="B463" t="s">
        <v>541</v>
      </c>
      <c r="C463" t="s">
        <v>63</v>
      </c>
      <c r="D463" t="s">
        <v>52</v>
      </c>
      <c r="E463" t="s">
        <v>77</v>
      </c>
      <c r="F463" t="s">
        <v>52</v>
      </c>
      <c r="G463" t="s">
        <v>37</v>
      </c>
      <c r="H463" t="s">
        <v>35</v>
      </c>
      <c r="I463" t="s">
        <v>35</v>
      </c>
      <c r="J463" t="s">
        <v>37</v>
      </c>
      <c r="K463" t="s">
        <v>37</v>
      </c>
      <c r="L463" t="s">
        <v>37</v>
      </c>
      <c r="M463" t="s">
        <v>35</v>
      </c>
      <c r="N463" t="s">
        <v>35</v>
      </c>
      <c r="O463" t="str">
        <f t="shared" si="16"/>
        <v>True</v>
      </c>
      <c r="P463" s="3">
        <v>241467.90561093431</v>
      </c>
      <c r="Q463" s="3">
        <v>0</v>
      </c>
      <c r="R463" s="3">
        <v>0</v>
      </c>
      <c r="S463" s="3">
        <v>4481.798314135508</v>
      </c>
      <c r="T463" s="3">
        <v>785.79123500273101</v>
      </c>
      <c r="U463">
        <v>1.3748316043513399E-2</v>
      </c>
      <c r="V463" s="3">
        <v>-225752.08091087971</v>
      </c>
      <c r="W463">
        <v>307.29269410862679</v>
      </c>
      <c r="X463">
        <v>1.4958262222927969</v>
      </c>
      <c r="Y463">
        <v>0.26226238937564772</v>
      </c>
      <c r="Z463" s="5">
        <v>0.14917472739144691</v>
      </c>
      <c r="AA463">
        <v>3.739565555731994</v>
      </c>
      <c r="AB463">
        <v>18.934509142946801</v>
      </c>
      <c r="AC463">
        <v>3.319777080704398</v>
      </c>
      <c r="AD463" s="5">
        <v>0.1491747273914468</v>
      </c>
      <c r="AE463">
        <v>47.336272857367</v>
      </c>
      <c r="AF463">
        <v>8.2994427017609951</v>
      </c>
      <c r="AG463">
        <v>0.65565597343911808</v>
      </c>
      <c r="AH463" t="str">
        <f t="shared" si="15"/>
        <v>True</v>
      </c>
      <c r="AI463">
        <v>2</v>
      </c>
    </row>
    <row r="464" spans="1:35" x14ac:dyDescent="0.35">
      <c r="A464" t="s">
        <v>556</v>
      </c>
      <c r="B464" t="s">
        <v>541</v>
      </c>
      <c r="C464" t="s">
        <v>63</v>
      </c>
      <c r="D464" t="s">
        <v>39</v>
      </c>
      <c r="E464" t="s">
        <v>77</v>
      </c>
      <c r="F464" t="s">
        <v>39</v>
      </c>
      <c r="G464" t="s">
        <v>37</v>
      </c>
      <c r="H464" t="s">
        <v>35</v>
      </c>
      <c r="I464" t="s">
        <v>35</v>
      </c>
      <c r="J464" t="s">
        <v>37</v>
      </c>
      <c r="K464" t="s">
        <v>35</v>
      </c>
      <c r="L464" t="s">
        <v>37</v>
      </c>
      <c r="M464" t="s">
        <v>35</v>
      </c>
      <c r="N464" t="s">
        <v>35</v>
      </c>
      <c r="O464" t="str">
        <f t="shared" si="16"/>
        <v>True</v>
      </c>
      <c r="P464" s="3">
        <v>212198.2662154921</v>
      </c>
      <c r="Q464" s="3">
        <v>0</v>
      </c>
      <c r="R464" s="3">
        <v>0</v>
      </c>
      <c r="S464" s="3">
        <v>4593.3978999201454</v>
      </c>
      <c r="T464" s="3">
        <v>674.19164921809329</v>
      </c>
      <c r="U464">
        <v>1.34228049631533E-2</v>
      </c>
      <c r="V464" s="3">
        <v>-198714.43323113021</v>
      </c>
      <c r="W464">
        <v>314.74472646107841</v>
      </c>
      <c r="X464">
        <v>1.5330732323349869</v>
      </c>
      <c r="Y464">
        <v>0.22501537933345769</v>
      </c>
      <c r="Z464" s="5">
        <v>0.12798864507740351</v>
      </c>
      <c r="AA464">
        <v>3.8326830808374681</v>
      </c>
      <c r="AB464">
        <v>19.405990282721358</v>
      </c>
      <c r="AC464">
        <v>2.848295940929841</v>
      </c>
      <c r="AD464" s="5">
        <v>0.1279886450774034</v>
      </c>
      <c r="AE464">
        <v>48.514975706803398</v>
      </c>
      <c r="AF464">
        <v>7.1207398523246024</v>
      </c>
      <c r="AG464">
        <v>0.56253844833364353</v>
      </c>
      <c r="AH464" t="str">
        <f t="shared" si="15"/>
        <v>True</v>
      </c>
      <c r="AI464">
        <v>2</v>
      </c>
    </row>
    <row r="465" spans="1:35" x14ac:dyDescent="0.35">
      <c r="A465" t="s">
        <v>557</v>
      </c>
      <c r="B465" t="s">
        <v>558</v>
      </c>
      <c r="C465" t="s">
        <v>33</v>
      </c>
      <c r="D465" t="s">
        <v>281</v>
      </c>
      <c r="E465" t="s">
        <v>39</v>
      </c>
      <c r="F465" t="s">
        <v>281</v>
      </c>
      <c r="G465" t="s">
        <v>35</v>
      </c>
      <c r="H465" t="s">
        <v>35</v>
      </c>
      <c r="I465" t="s">
        <v>35</v>
      </c>
      <c r="J465" t="s">
        <v>35</v>
      </c>
      <c r="K465" t="s">
        <v>35</v>
      </c>
      <c r="L465" t="s">
        <v>35</v>
      </c>
      <c r="M465" t="s">
        <v>35</v>
      </c>
      <c r="N465" t="s">
        <v>35</v>
      </c>
      <c r="O465" t="str">
        <f t="shared" si="16"/>
        <v>False</v>
      </c>
      <c r="P465" s="3">
        <v>0</v>
      </c>
      <c r="Q465" s="3">
        <v>0</v>
      </c>
      <c r="R465" s="3">
        <v>0</v>
      </c>
      <c r="S465" s="3">
        <v>10106.46923158891</v>
      </c>
      <c r="T465" s="3">
        <v>0</v>
      </c>
      <c r="U465">
        <v>0</v>
      </c>
      <c r="V465" s="3">
        <v>0</v>
      </c>
      <c r="W465">
        <v>0</v>
      </c>
      <c r="X465">
        <v>3.373092814936729</v>
      </c>
      <c r="Y465">
        <v>-4.4408920985006262E-16</v>
      </c>
      <c r="Z465" s="5">
        <v>-1.316563860571956E-16</v>
      </c>
      <c r="AA465">
        <v>13.71175941031191</v>
      </c>
      <c r="AB465">
        <v>42.697377404262397</v>
      </c>
      <c r="AC465">
        <v>0</v>
      </c>
      <c r="AD465" s="5">
        <v>0</v>
      </c>
      <c r="AE465">
        <v>173.56657481407481</v>
      </c>
      <c r="AF465">
        <v>0</v>
      </c>
      <c r="AG465">
        <v>0</v>
      </c>
      <c r="AH465" t="str">
        <f t="shared" si="15"/>
        <v>False</v>
      </c>
      <c r="AI465">
        <v>0</v>
      </c>
    </row>
    <row r="466" spans="1:35" x14ac:dyDescent="0.35">
      <c r="A466" t="s">
        <v>559</v>
      </c>
      <c r="B466" t="s">
        <v>558</v>
      </c>
      <c r="C466" t="s">
        <v>33</v>
      </c>
      <c r="D466" t="s">
        <v>283</v>
      </c>
      <c r="E466" t="s">
        <v>39</v>
      </c>
      <c r="F466" t="s">
        <v>283</v>
      </c>
      <c r="G466" t="s">
        <v>37</v>
      </c>
      <c r="H466" t="s">
        <v>35</v>
      </c>
      <c r="I466" t="s">
        <v>35</v>
      </c>
      <c r="J466" t="s">
        <v>35</v>
      </c>
      <c r="K466" t="s">
        <v>35</v>
      </c>
      <c r="L466" t="s">
        <v>35</v>
      </c>
      <c r="M466" t="s">
        <v>35</v>
      </c>
      <c r="N466" t="s">
        <v>35</v>
      </c>
      <c r="O466" t="str">
        <f t="shared" si="16"/>
        <v>False</v>
      </c>
      <c r="P466" s="3">
        <v>25482.830389938939</v>
      </c>
      <c r="Q466" s="3">
        <v>0</v>
      </c>
      <c r="R466" s="3">
        <v>0</v>
      </c>
      <c r="S466" s="3">
        <v>8629.6025270643786</v>
      </c>
      <c r="T466" s="3">
        <v>1476.86670452453</v>
      </c>
      <c r="U466">
        <v>0.24484733310486409</v>
      </c>
      <c r="V466" s="3">
        <v>4054.5037005516529</v>
      </c>
      <c r="W466">
        <v>17.254658332989511</v>
      </c>
      <c r="X466">
        <v>2.8801799731224591</v>
      </c>
      <c r="Y466">
        <v>0.49291284181427031</v>
      </c>
      <c r="Z466" s="5">
        <v>0.14613082676870129</v>
      </c>
      <c r="AA466">
        <v>11.708048671229511</v>
      </c>
      <c r="AB466">
        <v>36.457974343322263</v>
      </c>
      <c r="AC466">
        <v>6.2394030609401341</v>
      </c>
      <c r="AD466" s="5">
        <v>0.1461308267687014</v>
      </c>
      <c r="AE466">
        <v>148.20314773708239</v>
      </c>
      <c r="AF466">
        <v>25.363427076992419</v>
      </c>
      <c r="AG466">
        <v>2.0037107390824018</v>
      </c>
      <c r="AH466" t="str">
        <f t="shared" si="15"/>
        <v>True</v>
      </c>
      <c r="AI466">
        <v>2</v>
      </c>
    </row>
    <row r="467" spans="1:35" x14ac:dyDescent="0.35">
      <c r="A467" t="s">
        <v>560</v>
      </c>
      <c r="B467" t="s">
        <v>558</v>
      </c>
      <c r="C467" t="s">
        <v>33</v>
      </c>
      <c r="D467" t="s">
        <v>283</v>
      </c>
      <c r="E467" t="s">
        <v>39</v>
      </c>
      <c r="F467" t="s">
        <v>283</v>
      </c>
      <c r="G467" t="s">
        <v>37</v>
      </c>
      <c r="H467" t="s">
        <v>35</v>
      </c>
      <c r="I467" t="s">
        <v>35</v>
      </c>
      <c r="J467" t="s">
        <v>35</v>
      </c>
      <c r="K467" t="s">
        <v>37</v>
      </c>
      <c r="L467" t="s">
        <v>35</v>
      </c>
      <c r="M467" t="s">
        <v>35</v>
      </c>
      <c r="N467" t="s">
        <v>35</v>
      </c>
      <c r="O467" t="str">
        <f t="shared" si="16"/>
        <v>True</v>
      </c>
      <c r="P467" s="3">
        <v>50426.534056448902</v>
      </c>
      <c r="Q467" s="3">
        <v>0</v>
      </c>
      <c r="R467" s="3">
        <v>0</v>
      </c>
      <c r="S467" s="3">
        <v>7973.849263206971</v>
      </c>
      <c r="T467" s="3">
        <v>2132.6199683819382</v>
      </c>
      <c r="U467">
        <v>0.17867183361745509</v>
      </c>
      <c r="V467" s="3">
        <v>-7774.1346888101471</v>
      </c>
      <c r="W467">
        <v>23.64534460150842</v>
      </c>
      <c r="X467">
        <v>2.6613185120124658</v>
      </c>
      <c r="Y467">
        <v>0.71177430292426269</v>
      </c>
      <c r="Z467" s="5">
        <v>0.2110153328044766</v>
      </c>
      <c r="AA467">
        <v>10.818367935010031</v>
      </c>
      <c r="AB467">
        <v>33.687576101423623</v>
      </c>
      <c r="AC467">
        <v>9.009801302838774</v>
      </c>
      <c r="AD467" s="5">
        <v>0.21101533280447671</v>
      </c>
      <c r="AE467">
        <v>136.94136626594971</v>
      </c>
      <c r="AF467">
        <v>36.625208548125087</v>
      </c>
      <c r="AG467">
        <v>2.8933914753018839</v>
      </c>
      <c r="AH467" t="str">
        <f t="shared" si="15"/>
        <v>True</v>
      </c>
      <c r="AI467">
        <v>2</v>
      </c>
    </row>
    <row r="468" spans="1:35" x14ac:dyDescent="0.35">
      <c r="A468" t="s">
        <v>561</v>
      </c>
      <c r="B468" t="s">
        <v>558</v>
      </c>
      <c r="C468" t="s">
        <v>33</v>
      </c>
      <c r="D468" t="s">
        <v>283</v>
      </c>
      <c r="E468" t="s">
        <v>52</v>
      </c>
      <c r="F468" t="s">
        <v>283</v>
      </c>
      <c r="G468" t="s">
        <v>37</v>
      </c>
      <c r="H468" t="s">
        <v>35</v>
      </c>
      <c r="I468" t="s">
        <v>35</v>
      </c>
      <c r="J468" t="s">
        <v>35</v>
      </c>
      <c r="K468" t="s">
        <v>35</v>
      </c>
      <c r="L468" t="s">
        <v>35</v>
      </c>
      <c r="M468" t="s">
        <v>37</v>
      </c>
      <c r="N468" t="s">
        <v>35</v>
      </c>
      <c r="O468" t="str">
        <f t="shared" si="16"/>
        <v>True</v>
      </c>
      <c r="P468" s="3">
        <v>75370.237722958846</v>
      </c>
      <c r="Q468" s="3">
        <v>0</v>
      </c>
      <c r="R468" s="3">
        <v>0</v>
      </c>
      <c r="S468" s="3">
        <v>7048.1250735865788</v>
      </c>
      <c r="T468" s="3">
        <v>3058.34415800233</v>
      </c>
      <c r="U468">
        <v>0.17143054757620041</v>
      </c>
      <c r="V468" s="3">
        <v>-14203.354562912249</v>
      </c>
      <c r="W468">
        <v>24.644132193477429</v>
      </c>
      <c r="X468">
        <v>2.3523526861569071</v>
      </c>
      <c r="Y468">
        <v>1.0207401287798219</v>
      </c>
      <c r="Z468" s="5">
        <v>0.30261252351544587</v>
      </c>
      <c r="AA468">
        <v>9.5624092933207603</v>
      </c>
      <c r="AB468">
        <v>29.77661628046717</v>
      </c>
      <c r="AC468">
        <v>12.920761123795231</v>
      </c>
      <c r="AD468" s="5">
        <v>0.30261252351544599</v>
      </c>
      <c r="AE468">
        <v>121.04315561165519</v>
      </c>
      <c r="AF468">
        <v>52.523419202419618</v>
      </c>
      <c r="AG468">
        <v>4.1493501169911511</v>
      </c>
      <c r="AH468" t="str">
        <f t="shared" si="15"/>
        <v>True</v>
      </c>
      <c r="AI468">
        <v>2</v>
      </c>
    </row>
    <row r="469" spans="1:35" x14ac:dyDescent="0.35">
      <c r="A469" t="s">
        <v>562</v>
      </c>
      <c r="B469" t="s">
        <v>558</v>
      </c>
      <c r="C469" t="s">
        <v>33</v>
      </c>
      <c r="D469" t="s">
        <v>34</v>
      </c>
      <c r="E469" t="s">
        <v>52</v>
      </c>
      <c r="F469" t="s">
        <v>34</v>
      </c>
      <c r="G469" t="s">
        <v>37</v>
      </c>
      <c r="H469" t="s">
        <v>35</v>
      </c>
      <c r="I469" t="s">
        <v>35</v>
      </c>
      <c r="J469" t="s">
        <v>35</v>
      </c>
      <c r="K469" t="s">
        <v>37</v>
      </c>
      <c r="L469" t="s">
        <v>35</v>
      </c>
      <c r="M469" t="s">
        <v>37</v>
      </c>
      <c r="N469" t="s">
        <v>35</v>
      </c>
      <c r="O469" t="str">
        <f t="shared" si="16"/>
        <v>True</v>
      </c>
      <c r="P469" s="3">
        <v>100313.9413894688</v>
      </c>
      <c r="Q469" s="3">
        <v>0</v>
      </c>
      <c r="R469" s="3">
        <v>0</v>
      </c>
      <c r="S469" s="3">
        <v>6445.5080555709937</v>
      </c>
      <c r="T469" s="3">
        <v>3660.961176017915</v>
      </c>
      <c r="U469">
        <v>0.15418267312424039</v>
      </c>
      <c r="V469" s="3">
        <v>-27094.717869110489</v>
      </c>
      <c r="W469">
        <v>27.40098475957668</v>
      </c>
      <c r="X469">
        <v>2.1512257557672521</v>
      </c>
      <c r="Y469">
        <v>1.2218670591694769</v>
      </c>
      <c r="Z469" s="5">
        <v>0.36223938272875428</v>
      </c>
      <c r="AA469">
        <v>8.7448201453953338</v>
      </c>
      <c r="AB469">
        <v>27.23070576920572</v>
      </c>
      <c r="AC469">
        <v>15.466671635056681</v>
      </c>
      <c r="AD469" s="5">
        <v>0.36223938272875439</v>
      </c>
      <c r="AE469">
        <v>110.6939258910802</v>
      </c>
      <c r="AF469">
        <v>62.872648922994621</v>
      </c>
      <c r="AG469">
        <v>4.9669392649165758</v>
      </c>
      <c r="AH469" t="str">
        <f t="shared" si="15"/>
        <v>True</v>
      </c>
      <c r="AI469">
        <v>2</v>
      </c>
    </row>
    <row r="470" spans="1:35" x14ac:dyDescent="0.35">
      <c r="A470" t="s">
        <v>563</v>
      </c>
      <c r="B470" t="s">
        <v>558</v>
      </c>
      <c r="C470" t="s">
        <v>33</v>
      </c>
      <c r="D470" t="s">
        <v>34</v>
      </c>
      <c r="E470" t="s">
        <v>52</v>
      </c>
      <c r="F470" t="s">
        <v>34</v>
      </c>
      <c r="G470" t="s">
        <v>37</v>
      </c>
      <c r="H470" t="s">
        <v>35</v>
      </c>
      <c r="I470" t="s">
        <v>35</v>
      </c>
      <c r="J470" t="s">
        <v>35</v>
      </c>
      <c r="K470" t="s">
        <v>35</v>
      </c>
      <c r="L470" t="s">
        <v>37</v>
      </c>
      <c r="M470" t="s">
        <v>37</v>
      </c>
      <c r="N470" t="s">
        <v>35</v>
      </c>
      <c r="O470" t="str">
        <f t="shared" si="16"/>
        <v>True</v>
      </c>
      <c r="P470" s="3">
        <v>141626.9505871259</v>
      </c>
      <c r="Q470" s="3">
        <v>0</v>
      </c>
      <c r="R470" s="3">
        <v>0</v>
      </c>
      <c r="S470" s="3">
        <v>5811.7519671775963</v>
      </c>
      <c r="T470" s="3">
        <v>4294.7172644113116</v>
      </c>
      <c r="U470">
        <v>0.1281121783603576</v>
      </c>
      <c r="V470" s="3">
        <v>-55732.605298899653</v>
      </c>
      <c r="W470">
        <v>32.977013821313577</v>
      </c>
      <c r="X470">
        <v>1.9397059797508669</v>
      </c>
      <c r="Y470">
        <v>1.4333868351858621</v>
      </c>
      <c r="Z470" s="5">
        <v>0.42494734471537188</v>
      </c>
      <c r="AA470">
        <v>7.8849836575238479</v>
      </c>
      <c r="AB470">
        <v>24.553240250010969</v>
      </c>
      <c r="AC470">
        <v>18.144137154251428</v>
      </c>
      <c r="AD470" s="5">
        <v>0.42494734471537199</v>
      </c>
      <c r="AE470">
        <v>99.809919715491716</v>
      </c>
      <c r="AF470">
        <v>73.756655098583039</v>
      </c>
      <c r="AG470">
        <v>5.8267757527880617</v>
      </c>
      <c r="AH470" t="str">
        <f t="shared" si="15"/>
        <v>True</v>
      </c>
      <c r="AI470">
        <v>2</v>
      </c>
    </row>
    <row r="471" spans="1:35" x14ac:dyDescent="0.35">
      <c r="A471" t="s">
        <v>564</v>
      </c>
      <c r="B471" t="s">
        <v>558</v>
      </c>
      <c r="C471" t="s">
        <v>33</v>
      </c>
      <c r="D471" t="s">
        <v>283</v>
      </c>
      <c r="E471" t="s">
        <v>52</v>
      </c>
      <c r="F471" t="s">
        <v>283</v>
      </c>
      <c r="G471" t="s">
        <v>37</v>
      </c>
      <c r="H471" t="s">
        <v>35</v>
      </c>
      <c r="I471" t="s">
        <v>35</v>
      </c>
      <c r="J471" t="s">
        <v>35</v>
      </c>
      <c r="K471" t="s">
        <v>35</v>
      </c>
      <c r="L471" t="s">
        <v>37</v>
      </c>
      <c r="M471" t="s">
        <v>35</v>
      </c>
      <c r="N471" t="s">
        <v>35</v>
      </c>
      <c r="O471" t="str">
        <f t="shared" si="16"/>
        <v>True</v>
      </c>
      <c r="P471" s="3">
        <v>91739.543254106</v>
      </c>
      <c r="Q471" s="3">
        <v>0</v>
      </c>
      <c r="R471" s="3">
        <v>0</v>
      </c>
      <c r="S471" s="3">
        <v>7330.8224462006156</v>
      </c>
      <c r="T471" s="3">
        <v>2775.6467853882941</v>
      </c>
      <c r="U471">
        <v>0.12782310639878069</v>
      </c>
      <c r="V471" s="3">
        <v>-36226.607546340143</v>
      </c>
      <c r="W471">
        <v>33.051591339736078</v>
      </c>
      <c r="X471">
        <v>2.446704576467464</v>
      </c>
      <c r="Y471">
        <v>0.92638823846926543</v>
      </c>
      <c r="Z471" s="5">
        <v>0.27464060116194638</v>
      </c>
      <c r="AA471">
        <v>9.945953562875868</v>
      </c>
      <c r="AB471">
        <v>30.970944005917261</v>
      </c>
      <c r="AC471">
        <v>11.72643339834514</v>
      </c>
      <c r="AD471" s="5">
        <v>0.2746406011619465</v>
      </c>
      <c r="AE471">
        <v>125.89814636551731</v>
      </c>
      <c r="AF471">
        <v>47.668428448557457</v>
      </c>
      <c r="AG471">
        <v>3.7658058474360421</v>
      </c>
      <c r="AH471" t="str">
        <f t="shared" si="15"/>
        <v>True</v>
      </c>
      <c r="AI471">
        <v>2</v>
      </c>
    </row>
    <row r="472" spans="1:35" x14ac:dyDescent="0.35">
      <c r="A472" t="s">
        <v>565</v>
      </c>
      <c r="B472" t="s">
        <v>558</v>
      </c>
      <c r="C472" t="s">
        <v>33</v>
      </c>
      <c r="D472" t="s">
        <v>34</v>
      </c>
      <c r="E472" t="s">
        <v>52</v>
      </c>
      <c r="F472" t="s">
        <v>34</v>
      </c>
      <c r="G472" t="s">
        <v>37</v>
      </c>
      <c r="H472" t="s">
        <v>35</v>
      </c>
      <c r="I472" t="s">
        <v>35</v>
      </c>
      <c r="J472" t="s">
        <v>35</v>
      </c>
      <c r="K472" t="s">
        <v>37</v>
      </c>
      <c r="L472" t="s">
        <v>37</v>
      </c>
      <c r="M472" t="s">
        <v>35</v>
      </c>
      <c r="N472" t="s">
        <v>35</v>
      </c>
      <c r="O472" t="str">
        <f t="shared" si="16"/>
        <v>True</v>
      </c>
      <c r="P472" s="3">
        <v>116683.246920616</v>
      </c>
      <c r="Q472" s="3">
        <v>0</v>
      </c>
      <c r="R472" s="3">
        <v>0</v>
      </c>
      <c r="S472" s="3">
        <v>6693.2978059744319</v>
      </c>
      <c r="T472" s="3">
        <v>3413.1714256144769</v>
      </c>
      <c r="U472">
        <v>0.1235808954080086</v>
      </c>
      <c r="V472" s="3">
        <v>-48419.81840832645</v>
      </c>
      <c r="W472">
        <v>34.186166579549813</v>
      </c>
      <c r="X472">
        <v>2.2339270243852138</v>
      </c>
      <c r="Y472">
        <v>1.1391657905515149</v>
      </c>
      <c r="Z472" s="5">
        <v>0.33772144825279082</v>
      </c>
      <c r="AA472">
        <v>9.0810041641675365</v>
      </c>
      <c r="AB472">
        <v>28.27755727069891</v>
      </c>
      <c r="AC472">
        <v>14.419820133563491</v>
      </c>
      <c r="AD472" s="5">
        <v>0.33772144825279088</v>
      </c>
      <c r="AE472">
        <v>114.94941979958909</v>
      </c>
      <c r="AF472">
        <v>58.617155014485718</v>
      </c>
      <c r="AG472">
        <v>4.6307552461443731</v>
      </c>
      <c r="AH472" t="str">
        <f t="shared" si="15"/>
        <v>True</v>
      </c>
      <c r="AI472">
        <v>2</v>
      </c>
    </row>
    <row r="473" spans="1:35" x14ac:dyDescent="0.35">
      <c r="A473" t="s">
        <v>566</v>
      </c>
      <c r="B473" t="s">
        <v>558</v>
      </c>
      <c r="C473" t="s">
        <v>33</v>
      </c>
      <c r="D473" t="s">
        <v>34</v>
      </c>
      <c r="E473" t="s">
        <v>52</v>
      </c>
      <c r="F473" t="s">
        <v>34</v>
      </c>
      <c r="G473" t="s">
        <v>37</v>
      </c>
      <c r="H473" t="s">
        <v>35</v>
      </c>
      <c r="I473" t="s">
        <v>35</v>
      </c>
      <c r="J473" t="s">
        <v>35</v>
      </c>
      <c r="K473" t="s">
        <v>37</v>
      </c>
      <c r="L473" t="s">
        <v>37</v>
      </c>
      <c r="M473" t="s">
        <v>37</v>
      </c>
      <c r="N473" t="s">
        <v>35</v>
      </c>
      <c r="O473" t="str">
        <f t="shared" si="16"/>
        <v>True</v>
      </c>
      <c r="P473" s="3">
        <v>166570.6542536359</v>
      </c>
      <c r="Q473" s="3">
        <v>0</v>
      </c>
      <c r="R473" s="3">
        <v>0</v>
      </c>
      <c r="S473" s="3">
        <v>5241.2757282616431</v>
      </c>
      <c r="T473" s="3">
        <v>4865.1935033272657</v>
      </c>
      <c r="U473">
        <v>0.1233966497500255</v>
      </c>
      <c r="V473" s="3">
        <v>-69266.784187090583</v>
      </c>
      <c r="W473">
        <v>34.237210532267547</v>
      </c>
      <c r="X473">
        <v>1.749306221092817</v>
      </c>
      <c r="Y473">
        <v>1.623786593843912</v>
      </c>
      <c r="Z473" s="5">
        <v>0.48139398555932422</v>
      </c>
      <c r="AA473">
        <v>7.1110008987512892</v>
      </c>
      <c r="AB473">
        <v>22.14311672269389</v>
      </c>
      <c r="AC473">
        <v>20.554260681568511</v>
      </c>
      <c r="AD473" s="5">
        <v>0.48139398555932422</v>
      </c>
      <c r="AE473">
        <v>90.0126696044467</v>
      </c>
      <c r="AF473">
        <v>83.55390520962807</v>
      </c>
      <c r="AG473">
        <v>6.6007585115606204</v>
      </c>
      <c r="AH473" t="str">
        <f t="shared" si="15"/>
        <v>True</v>
      </c>
      <c r="AI473">
        <v>2</v>
      </c>
    </row>
    <row r="474" spans="1:35" x14ac:dyDescent="0.35">
      <c r="A474" t="s">
        <v>567</v>
      </c>
      <c r="B474" t="s">
        <v>558</v>
      </c>
      <c r="C474" t="s">
        <v>33</v>
      </c>
      <c r="D474" t="s">
        <v>283</v>
      </c>
      <c r="E474" t="s">
        <v>39</v>
      </c>
      <c r="F474" t="s">
        <v>283</v>
      </c>
      <c r="G474" t="s">
        <v>35</v>
      </c>
      <c r="H474" t="s">
        <v>35</v>
      </c>
      <c r="I474" t="s">
        <v>35</v>
      </c>
      <c r="J474" t="s">
        <v>35</v>
      </c>
      <c r="K474" t="s">
        <v>35</v>
      </c>
      <c r="L474" t="s">
        <v>35</v>
      </c>
      <c r="M474" t="s">
        <v>37</v>
      </c>
      <c r="N474" t="s">
        <v>35</v>
      </c>
      <c r="O474" t="str">
        <f t="shared" si="16"/>
        <v>False</v>
      </c>
      <c r="P474" s="3">
        <v>49887.407333019917</v>
      </c>
      <c r="Q474" s="3">
        <v>0</v>
      </c>
      <c r="R474" s="3">
        <v>0</v>
      </c>
      <c r="S474" s="3">
        <v>8672.3996083158618</v>
      </c>
      <c r="T474" s="3">
        <v>1434.069623273047</v>
      </c>
      <c r="U474">
        <v>0.1214453929952105</v>
      </c>
      <c r="V474" s="3">
        <v>-21206.014867558992</v>
      </c>
      <c r="W474">
        <v>34.787297996843051</v>
      </c>
      <c r="X474">
        <v>2.89446374760014</v>
      </c>
      <c r="Y474">
        <v>0.47862906733658889</v>
      </c>
      <c r="Z474" s="5">
        <v>0.141896204343125</v>
      </c>
      <c r="AA474">
        <v>11.76611279512252</v>
      </c>
      <c r="AB474">
        <v>36.638781615191647</v>
      </c>
      <c r="AC474">
        <v>6.0585957890707496</v>
      </c>
      <c r="AD474" s="5">
        <v>0.14189620434312511</v>
      </c>
      <c r="AE474">
        <v>148.9381366471205</v>
      </c>
      <c r="AF474">
        <v>24.628438166954268</v>
      </c>
      <c r="AG474">
        <v>1.945646615189389</v>
      </c>
      <c r="AH474" t="str">
        <f t="shared" si="15"/>
        <v>False</v>
      </c>
      <c r="AI474">
        <v>0</v>
      </c>
    </row>
    <row r="475" spans="1:35" x14ac:dyDescent="0.35">
      <c r="A475" t="s">
        <v>568</v>
      </c>
      <c r="B475" t="s">
        <v>558</v>
      </c>
      <c r="C475" t="s">
        <v>33</v>
      </c>
      <c r="D475" t="s">
        <v>34</v>
      </c>
      <c r="E475" t="s">
        <v>52</v>
      </c>
      <c r="F475" t="s">
        <v>34</v>
      </c>
      <c r="G475" t="s">
        <v>37</v>
      </c>
      <c r="H475" t="s">
        <v>35</v>
      </c>
      <c r="I475" t="s">
        <v>37</v>
      </c>
      <c r="J475" t="s">
        <v>35</v>
      </c>
      <c r="K475" t="s">
        <v>35</v>
      </c>
      <c r="L475" t="s">
        <v>35</v>
      </c>
      <c r="M475" t="s">
        <v>37</v>
      </c>
      <c r="N475" t="s">
        <v>35</v>
      </c>
      <c r="O475" t="str">
        <f t="shared" si="16"/>
        <v>True</v>
      </c>
      <c r="P475" s="3">
        <v>116897.8131732297</v>
      </c>
      <c r="Q475" s="3">
        <v>0</v>
      </c>
      <c r="R475" s="3">
        <v>0</v>
      </c>
      <c r="S475" s="3">
        <v>6785.3082183901206</v>
      </c>
      <c r="T475" s="3">
        <v>3321.1610131987891</v>
      </c>
      <c r="U475">
        <v>0.12002875085275561</v>
      </c>
      <c r="V475" s="3">
        <v>-50474.59290925393</v>
      </c>
      <c r="W475">
        <v>35.197875896007567</v>
      </c>
      <c r="X475">
        <v>2.2646360340212062</v>
      </c>
      <c r="Y475">
        <v>1.108456780915523</v>
      </c>
      <c r="Z475" s="5">
        <v>0.32861733777589952</v>
      </c>
      <c r="AA475">
        <v>9.2058375366715701</v>
      </c>
      <c r="AB475">
        <v>28.666278911660839</v>
      </c>
      <c r="AC475">
        <v>14.03109849260156</v>
      </c>
      <c r="AD475" s="5">
        <v>0.32861733777589958</v>
      </c>
      <c r="AE475">
        <v>116.529589071792</v>
      </c>
      <c r="AF475">
        <v>57.036985742282752</v>
      </c>
      <c r="AG475">
        <v>4.5059218736403386</v>
      </c>
      <c r="AH475" t="str">
        <f t="shared" si="15"/>
        <v>True</v>
      </c>
      <c r="AI475">
        <v>2</v>
      </c>
    </row>
    <row r="476" spans="1:35" x14ac:dyDescent="0.35">
      <c r="A476" t="s">
        <v>569</v>
      </c>
      <c r="B476" t="s">
        <v>558</v>
      </c>
      <c r="C476" t="s">
        <v>33</v>
      </c>
      <c r="D476" t="s">
        <v>34</v>
      </c>
      <c r="E476" t="s">
        <v>52</v>
      </c>
      <c r="F476" t="s">
        <v>34</v>
      </c>
      <c r="G476" t="s">
        <v>37</v>
      </c>
      <c r="H476" t="s">
        <v>35</v>
      </c>
      <c r="I476" t="s">
        <v>37</v>
      </c>
      <c r="J476" t="s">
        <v>35</v>
      </c>
      <c r="K476" t="s">
        <v>37</v>
      </c>
      <c r="L476" t="s">
        <v>35</v>
      </c>
      <c r="M476" t="s">
        <v>37</v>
      </c>
      <c r="N476" t="s">
        <v>35</v>
      </c>
      <c r="O476" t="str">
        <f t="shared" si="16"/>
        <v>True</v>
      </c>
      <c r="P476" s="3">
        <v>141841.51683973969</v>
      </c>
      <c r="Q476" s="3">
        <v>0</v>
      </c>
      <c r="R476" s="3">
        <v>0</v>
      </c>
      <c r="S476" s="3">
        <v>6184.2989098688022</v>
      </c>
      <c r="T476" s="3">
        <v>3922.170321720107</v>
      </c>
      <c r="U476">
        <v>0.11682205034878571</v>
      </c>
      <c r="V476" s="3">
        <v>-63398.11040533756</v>
      </c>
      <c r="W476">
        <v>36.164038072047227</v>
      </c>
      <c r="X476">
        <v>2.0640456860145142</v>
      </c>
      <c r="Y476">
        <v>1.309047128922215</v>
      </c>
      <c r="Z476" s="5">
        <v>0.38808511972320858</v>
      </c>
      <c r="AA476">
        <v>8.3904296179451769</v>
      </c>
      <c r="AB476">
        <v>26.127160582462199</v>
      </c>
      <c r="AC476">
        <v>16.570216821800202</v>
      </c>
      <c r="AD476" s="5">
        <v>0.38808511972320869</v>
      </c>
      <c r="AE476">
        <v>106.2079698474073</v>
      </c>
      <c r="AF476">
        <v>67.358604966667471</v>
      </c>
      <c r="AG476">
        <v>5.3213297923667326</v>
      </c>
      <c r="AH476" t="str">
        <f t="shared" si="15"/>
        <v>True</v>
      </c>
      <c r="AI476">
        <v>2</v>
      </c>
    </row>
    <row r="477" spans="1:35" x14ac:dyDescent="0.35">
      <c r="A477" t="s">
        <v>570</v>
      </c>
      <c r="B477" t="s">
        <v>558</v>
      </c>
      <c r="C477" t="s">
        <v>33</v>
      </c>
      <c r="D477" t="s">
        <v>283</v>
      </c>
      <c r="E477" t="s">
        <v>39</v>
      </c>
      <c r="F477" t="s">
        <v>283</v>
      </c>
      <c r="G477" t="s">
        <v>35</v>
      </c>
      <c r="H477" t="s">
        <v>35</v>
      </c>
      <c r="I477" t="s">
        <v>35</v>
      </c>
      <c r="J477" t="s">
        <v>35</v>
      </c>
      <c r="K477" t="s">
        <v>37</v>
      </c>
      <c r="L477" t="s">
        <v>35</v>
      </c>
      <c r="M477" t="s">
        <v>37</v>
      </c>
      <c r="N477" t="s">
        <v>35</v>
      </c>
      <c r="O477" t="str">
        <f t="shared" si="16"/>
        <v>True</v>
      </c>
      <c r="P477" s="3">
        <v>74831.110999529876</v>
      </c>
      <c r="Q477" s="3">
        <v>0</v>
      </c>
      <c r="R477" s="3">
        <v>0</v>
      </c>
      <c r="S477" s="3">
        <v>8039.6213933719382</v>
      </c>
      <c r="T477" s="3">
        <v>2066.847838216971</v>
      </c>
      <c r="U477">
        <v>0.11668849912631669</v>
      </c>
      <c r="V477" s="3">
        <v>-33494.154235190457</v>
      </c>
      <c r="W477">
        <v>36.205428196439087</v>
      </c>
      <c r="X477">
        <v>2.683270342528024</v>
      </c>
      <c r="Y477">
        <v>0.68982247240870542</v>
      </c>
      <c r="Z477" s="5">
        <v>0.2045074091510419</v>
      </c>
      <c r="AA477">
        <v>10.907603018406601</v>
      </c>
      <c r="AB477">
        <v>33.965447373772449</v>
      </c>
      <c r="AC477">
        <v>8.7319300304899485</v>
      </c>
      <c r="AD477" s="5">
        <v>0.2045074091510421</v>
      </c>
      <c r="AE477">
        <v>138.07092428362779</v>
      </c>
      <c r="AF477">
        <v>35.495650530446937</v>
      </c>
      <c r="AG477">
        <v>2.8041563919053112</v>
      </c>
      <c r="AH477" t="str">
        <f t="shared" si="15"/>
        <v>False</v>
      </c>
      <c r="AI477">
        <v>1</v>
      </c>
    </row>
    <row r="478" spans="1:35" x14ac:dyDescent="0.35">
      <c r="A478" t="s">
        <v>571</v>
      </c>
      <c r="B478" t="s">
        <v>558</v>
      </c>
      <c r="C478" t="s">
        <v>33</v>
      </c>
      <c r="D478" t="s">
        <v>283</v>
      </c>
      <c r="E478" t="s">
        <v>52</v>
      </c>
      <c r="F478" t="s">
        <v>283</v>
      </c>
      <c r="G478" t="s">
        <v>37</v>
      </c>
      <c r="H478" t="s">
        <v>35</v>
      </c>
      <c r="I478" t="s">
        <v>37</v>
      </c>
      <c r="J478" t="s">
        <v>35</v>
      </c>
      <c r="K478" t="s">
        <v>37</v>
      </c>
      <c r="L478" t="s">
        <v>35</v>
      </c>
      <c r="M478" t="s">
        <v>35</v>
      </c>
      <c r="N478" t="s">
        <v>35</v>
      </c>
      <c r="O478" t="str">
        <f t="shared" si="16"/>
        <v>True</v>
      </c>
      <c r="P478" s="3">
        <v>91954.10950671976</v>
      </c>
      <c r="Q478" s="3">
        <v>0</v>
      </c>
      <c r="R478" s="3">
        <v>0</v>
      </c>
      <c r="S478" s="3">
        <v>7706.7744796080442</v>
      </c>
      <c r="T478" s="3">
        <v>2399.694751980865</v>
      </c>
      <c r="U478">
        <v>0.1102520315750941</v>
      </c>
      <c r="V478" s="3">
        <v>-43960.214467102473</v>
      </c>
      <c r="W478">
        <v>38.319085971586517</v>
      </c>
      <c r="X478">
        <v>2.572180751537962</v>
      </c>
      <c r="Y478">
        <v>0.80091206339876742</v>
      </c>
      <c r="Z478" s="5">
        <v>0.23744145427963581</v>
      </c>
      <c r="AA478">
        <v>10.456019315194959</v>
      </c>
      <c r="AB478">
        <v>32.559250019467868</v>
      </c>
      <c r="AC478">
        <v>10.138127384794529</v>
      </c>
      <c r="AD478" s="5">
        <v>0.23744145427963589</v>
      </c>
      <c r="AE478">
        <v>132.35467487588559</v>
      </c>
      <c r="AF478">
        <v>41.211899938189148</v>
      </c>
      <c r="AG478">
        <v>3.2557400951169448</v>
      </c>
      <c r="AH478" t="str">
        <f t="shared" si="15"/>
        <v>True</v>
      </c>
      <c r="AI478">
        <v>2</v>
      </c>
    </row>
    <row r="479" spans="1:35" x14ac:dyDescent="0.35">
      <c r="A479" t="s">
        <v>572</v>
      </c>
      <c r="B479" t="s">
        <v>558</v>
      </c>
      <c r="C479" t="s">
        <v>33</v>
      </c>
      <c r="D479" t="s">
        <v>283</v>
      </c>
      <c r="E479" t="s">
        <v>39</v>
      </c>
      <c r="F479" t="s">
        <v>283</v>
      </c>
      <c r="G479" t="s">
        <v>37</v>
      </c>
      <c r="H479" t="s">
        <v>35</v>
      </c>
      <c r="I479" t="s">
        <v>37</v>
      </c>
      <c r="J479" t="s">
        <v>35</v>
      </c>
      <c r="K479" t="s">
        <v>35</v>
      </c>
      <c r="L479" t="s">
        <v>35</v>
      </c>
      <c r="M479" t="s">
        <v>35</v>
      </c>
      <c r="N479" t="s">
        <v>35</v>
      </c>
      <c r="O479" t="str">
        <f t="shared" si="16"/>
        <v>True</v>
      </c>
      <c r="P479" s="3">
        <v>67010.405840209802</v>
      </c>
      <c r="Q479" s="3">
        <v>0</v>
      </c>
      <c r="R479" s="3">
        <v>0</v>
      </c>
      <c r="S479" s="3">
        <v>8361.5896496875721</v>
      </c>
      <c r="T479" s="3">
        <v>1744.8795819013369</v>
      </c>
      <c r="U479">
        <v>0.110008173637996</v>
      </c>
      <c r="V479" s="3">
        <v>-32112.814202183061</v>
      </c>
      <c r="W479">
        <v>38.4040288712593</v>
      </c>
      <c r="X479">
        <v>2.790729118400161</v>
      </c>
      <c r="Y479">
        <v>0.5823636965365675</v>
      </c>
      <c r="Z479" s="5">
        <v>0.17264976936233259</v>
      </c>
      <c r="AA479">
        <v>11.34442731056976</v>
      </c>
      <c r="AB479">
        <v>35.325685043040018</v>
      </c>
      <c r="AC479">
        <v>7.3716923612223786</v>
      </c>
      <c r="AD479" s="5">
        <v>0.1726497693623327</v>
      </c>
      <c r="AE479">
        <v>143.60034570341469</v>
      </c>
      <c r="AF479">
        <v>29.96622911066008</v>
      </c>
      <c r="AG479">
        <v>2.3673320997421481</v>
      </c>
      <c r="AH479" t="str">
        <f t="shared" si="15"/>
        <v>True</v>
      </c>
      <c r="AI479">
        <v>2</v>
      </c>
    </row>
    <row r="480" spans="1:35" x14ac:dyDescent="0.35">
      <c r="A480" t="s">
        <v>573</v>
      </c>
      <c r="B480" t="s">
        <v>558</v>
      </c>
      <c r="C480" t="s">
        <v>33</v>
      </c>
      <c r="D480" t="s">
        <v>283</v>
      </c>
      <c r="E480" t="s">
        <v>52</v>
      </c>
      <c r="F480" t="s">
        <v>283</v>
      </c>
      <c r="G480" t="s">
        <v>37</v>
      </c>
      <c r="H480" t="s">
        <v>35</v>
      </c>
      <c r="I480" t="s">
        <v>35</v>
      </c>
      <c r="J480" t="s">
        <v>37</v>
      </c>
      <c r="K480" t="s">
        <v>35</v>
      </c>
      <c r="L480" t="s">
        <v>35</v>
      </c>
      <c r="M480" t="s">
        <v>37</v>
      </c>
      <c r="N480" t="s">
        <v>35</v>
      </c>
      <c r="O480" t="str">
        <f t="shared" si="16"/>
        <v>True</v>
      </c>
      <c r="P480" s="3">
        <v>126335.8985028367</v>
      </c>
      <c r="Q480" s="3">
        <v>0</v>
      </c>
      <c r="R480" s="3">
        <v>0</v>
      </c>
      <c r="S480" s="3">
        <v>6878.9499393462993</v>
      </c>
      <c r="T480" s="3">
        <v>3227.519292242609</v>
      </c>
      <c r="U480">
        <v>0.1079304071996062</v>
      </c>
      <c r="V480" s="3">
        <v>-61785.512657984509</v>
      </c>
      <c r="W480">
        <v>39.143344179688377</v>
      </c>
      <c r="X480">
        <v>2.2958895023589259</v>
      </c>
      <c r="Y480">
        <v>1.0772033125778031</v>
      </c>
      <c r="Z480" s="5">
        <v>0.31935181498941612</v>
      </c>
      <c r="AA480">
        <v>9.3328841559305928</v>
      </c>
      <c r="AB480">
        <v>29.061892434923109</v>
      </c>
      <c r="AC480">
        <v>13.63548496933929</v>
      </c>
      <c r="AD480" s="5">
        <v>0.31935181498941628</v>
      </c>
      <c r="AE480">
        <v>118.1377741257037</v>
      </c>
      <c r="AF480">
        <v>55.428800688371091</v>
      </c>
      <c r="AG480">
        <v>4.3788752543813168</v>
      </c>
      <c r="AH480" t="str">
        <f t="shared" si="15"/>
        <v>True</v>
      </c>
      <c r="AI480">
        <v>2</v>
      </c>
    </row>
    <row r="481" spans="1:35" x14ac:dyDescent="0.35">
      <c r="A481" t="s">
        <v>574</v>
      </c>
      <c r="B481" t="s">
        <v>575</v>
      </c>
      <c r="C481" t="s">
        <v>33</v>
      </c>
      <c r="D481" t="s">
        <v>422</v>
      </c>
      <c r="E481" t="s">
        <v>283</v>
      </c>
      <c r="F481" t="s">
        <v>422</v>
      </c>
      <c r="G481" t="s">
        <v>35</v>
      </c>
      <c r="H481" t="s">
        <v>35</v>
      </c>
      <c r="I481" t="s">
        <v>35</v>
      </c>
      <c r="J481" t="s">
        <v>35</v>
      </c>
      <c r="K481" t="s">
        <v>35</v>
      </c>
      <c r="L481" t="s">
        <v>35</v>
      </c>
      <c r="M481" t="s">
        <v>35</v>
      </c>
      <c r="N481" t="s">
        <v>35</v>
      </c>
      <c r="O481" t="str">
        <f t="shared" si="16"/>
        <v>False</v>
      </c>
      <c r="P481" s="3">
        <v>0</v>
      </c>
      <c r="Q481" s="3">
        <v>0</v>
      </c>
      <c r="R481" s="3">
        <v>0</v>
      </c>
      <c r="S481" s="3">
        <v>8906.7045439304729</v>
      </c>
      <c r="T481" s="3">
        <v>0</v>
      </c>
      <c r="U481">
        <v>0</v>
      </c>
      <c r="V481" s="3">
        <v>0</v>
      </c>
      <c r="W481">
        <v>0</v>
      </c>
      <c r="X481">
        <v>2.9726643809484892</v>
      </c>
      <c r="Y481">
        <v>4.4408920985006262E-16</v>
      </c>
      <c r="Z481" s="5">
        <v>1.4939096814836761E-16</v>
      </c>
      <c r="AA481">
        <v>49.544406349141482</v>
      </c>
      <c r="AB481">
        <v>37.628663049980872</v>
      </c>
      <c r="AC481">
        <v>0</v>
      </c>
      <c r="AD481" s="5">
        <v>0</v>
      </c>
      <c r="AE481">
        <v>627.14438416634789</v>
      </c>
      <c r="AF481">
        <v>0</v>
      </c>
      <c r="AG481">
        <v>7.1054273576010019E-15</v>
      </c>
      <c r="AH481" t="str">
        <f t="shared" si="15"/>
        <v>False</v>
      </c>
      <c r="AI481">
        <v>0</v>
      </c>
    </row>
    <row r="482" spans="1:35" x14ac:dyDescent="0.35">
      <c r="A482" t="s">
        <v>576</v>
      </c>
      <c r="B482" t="s">
        <v>575</v>
      </c>
      <c r="C482" t="s">
        <v>33</v>
      </c>
      <c r="D482" t="s">
        <v>422</v>
      </c>
      <c r="E482" t="s">
        <v>34</v>
      </c>
      <c r="F482" t="s">
        <v>422</v>
      </c>
      <c r="G482" t="s">
        <v>37</v>
      </c>
      <c r="H482" t="s">
        <v>35</v>
      </c>
      <c r="I482" t="s">
        <v>35</v>
      </c>
      <c r="J482" t="s">
        <v>35</v>
      </c>
      <c r="K482" t="s">
        <v>35</v>
      </c>
      <c r="L482" t="s">
        <v>35</v>
      </c>
      <c r="M482" t="s">
        <v>35</v>
      </c>
      <c r="N482" t="s">
        <v>35</v>
      </c>
      <c r="O482" t="str">
        <f t="shared" si="16"/>
        <v>False</v>
      </c>
      <c r="P482" s="3">
        <v>26123.489479635879</v>
      </c>
      <c r="Q482" s="3">
        <v>0</v>
      </c>
      <c r="R482" s="3">
        <v>0</v>
      </c>
      <c r="S482" s="3">
        <v>6772.5837672738026</v>
      </c>
      <c r="T482" s="3">
        <v>2134.1207766566681</v>
      </c>
      <c r="U482">
        <v>0.34513543300737992</v>
      </c>
      <c r="V482" s="3">
        <v>16558.926053497478</v>
      </c>
      <c r="W482">
        <v>12.24086741733575</v>
      </c>
      <c r="X482">
        <v>2.2603891745442781</v>
      </c>
      <c r="Y482">
        <v>0.71227520640421149</v>
      </c>
      <c r="Z482" s="5">
        <v>0.23960834965733521</v>
      </c>
      <c r="AA482">
        <v>37.673152909071291</v>
      </c>
      <c r="AB482">
        <v>28.612521196763009</v>
      </c>
      <c r="AC482">
        <v>9.0161418532178637</v>
      </c>
      <c r="AD482" s="5">
        <v>0.2396083496573351</v>
      </c>
      <c r="AE482">
        <v>476.87535327938349</v>
      </c>
      <c r="AF482">
        <v>150.2690308869644</v>
      </c>
      <c r="AG482">
        <v>11.871253440070189</v>
      </c>
      <c r="AH482" t="str">
        <f t="shared" si="15"/>
        <v>True</v>
      </c>
      <c r="AI482">
        <v>2</v>
      </c>
    </row>
    <row r="483" spans="1:35" x14ac:dyDescent="0.35">
      <c r="A483" t="s">
        <v>577</v>
      </c>
      <c r="B483" t="s">
        <v>575</v>
      </c>
      <c r="C483" t="s">
        <v>33</v>
      </c>
      <c r="D483" t="s">
        <v>422</v>
      </c>
      <c r="E483" t="s">
        <v>34</v>
      </c>
      <c r="F483" t="s">
        <v>422</v>
      </c>
      <c r="G483" t="s">
        <v>37</v>
      </c>
      <c r="H483" t="s">
        <v>35</v>
      </c>
      <c r="I483" t="s">
        <v>35</v>
      </c>
      <c r="J483" t="s">
        <v>35</v>
      </c>
      <c r="K483" t="s">
        <v>37</v>
      </c>
      <c r="L483" t="s">
        <v>35</v>
      </c>
      <c r="M483" t="s">
        <v>35</v>
      </c>
      <c r="N483" t="s">
        <v>35</v>
      </c>
      <c r="O483" t="str">
        <f t="shared" si="16"/>
        <v>True</v>
      </c>
      <c r="P483" s="3">
        <v>49705.949347802343</v>
      </c>
      <c r="Q483" s="3">
        <v>0</v>
      </c>
      <c r="R483" s="3">
        <v>0</v>
      </c>
      <c r="S483" s="3">
        <v>6474.457984354648</v>
      </c>
      <c r="T483" s="3">
        <v>2432.246559575824</v>
      </c>
      <c r="U483">
        <v>0.2067287920080231</v>
      </c>
      <c r="V483" s="3">
        <v>-1061.0181562858629</v>
      </c>
      <c r="W483">
        <v>20.43622968736809</v>
      </c>
      <c r="X483">
        <v>2.160887962670119</v>
      </c>
      <c r="Y483">
        <v>0.81177641827836977</v>
      </c>
      <c r="Z483" s="5">
        <v>0.27308041347720391</v>
      </c>
      <c r="AA483">
        <v>36.014799377835317</v>
      </c>
      <c r="AB483">
        <v>27.353012185697711</v>
      </c>
      <c r="AC483">
        <v>10.275650864283159</v>
      </c>
      <c r="AD483" s="5">
        <v>0.27308041347720391</v>
      </c>
      <c r="AE483">
        <v>455.88353642829509</v>
      </c>
      <c r="AF483">
        <v>171.26084773805269</v>
      </c>
      <c r="AG483">
        <v>13.52960697130616</v>
      </c>
      <c r="AH483" t="str">
        <f t="shared" si="15"/>
        <v>True</v>
      </c>
      <c r="AI483">
        <v>2</v>
      </c>
    </row>
    <row r="484" spans="1:35" x14ac:dyDescent="0.35">
      <c r="A484" t="s">
        <v>578</v>
      </c>
      <c r="B484" t="s">
        <v>575</v>
      </c>
      <c r="C484" t="s">
        <v>33</v>
      </c>
      <c r="D484" t="s">
        <v>422</v>
      </c>
      <c r="E484" t="s">
        <v>34</v>
      </c>
      <c r="F484" t="s">
        <v>422</v>
      </c>
      <c r="G484" t="s">
        <v>37</v>
      </c>
      <c r="H484" t="s">
        <v>35</v>
      </c>
      <c r="I484" t="s">
        <v>35</v>
      </c>
      <c r="J484" t="s">
        <v>35</v>
      </c>
      <c r="K484" t="s">
        <v>35</v>
      </c>
      <c r="L484" t="s">
        <v>37</v>
      </c>
      <c r="M484" t="s">
        <v>35</v>
      </c>
      <c r="N484" t="s">
        <v>35</v>
      </c>
      <c r="O484" t="str">
        <f t="shared" si="16"/>
        <v>True</v>
      </c>
      <c r="P484" s="3">
        <v>64828.258348841729</v>
      </c>
      <c r="Q484" s="3">
        <v>0</v>
      </c>
      <c r="R484" s="3">
        <v>0</v>
      </c>
      <c r="S484" s="3">
        <v>5933.4105127695784</v>
      </c>
      <c r="T484" s="3">
        <v>2973.294031160895</v>
      </c>
      <c r="U484">
        <v>0.19376496173896979</v>
      </c>
      <c r="V484" s="3">
        <v>-5362.3777256238318</v>
      </c>
      <c r="W484">
        <v>21.803514105710612</v>
      </c>
      <c r="X484">
        <v>1.980310226061667</v>
      </c>
      <c r="Y484">
        <v>0.99235415488682199</v>
      </c>
      <c r="Z484" s="5">
        <v>0.33382650300071592</v>
      </c>
      <c r="AA484">
        <v>33.005170434361119</v>
      </c>
      <c r="AB484">
        <v>25.067218051413509</v>
      </c>
      <c r="AC484">
        <v>12.56144499856736</v>
      </c>
      <c r="AD484" s="5">
        <v>0.33382650300071581</v>
      </c>
      <c r="AE484">
        <v>417.78696752355847</v>
      </c>
      <c r="AF484">
        <v>209.35741664278939</v>
      </c>
      <c r="AG484">
        <v>16.53923591478036</v>
      </c>
      <c r="AH484" t="str">
        <f t="shared" si="15"/>
        <v>True</v>
      </c>
      <c r="AI484">
        <v>2</v>
      </c>
    </row>
    <row r="485" spans="1:35" x14ac:dyDescent="0.35">
      <c r="A485" t="s">
        <v>579</v>
      </c>
      <c r="B485" t="s">
        <v>575</v>
      </c>
      <c r="C485" t="s">
        <v>33</v>
      </c>
      <c r="D485" t="s">
        <v>422</v>
      </c>
      <c r="E485" t="s">
        <v>34</v>
      </c>
      <c r="F485" t="s">
        <v>422</v>
      </c>
      <c r="G485" t="s">
        <v>37</v>
      </c>
      <c r="H485" t="s">
        <v>35</v>
      </c>
      <c r="I485" t="s">
        <v>35</v>
      </c>
      <c r="J485" t="s">
        <v>35</v>
      </c>
      <c r="K485" t="s">
        <v>37</v>
      </c>
      <c r="L485" t="s">
        <v>37</v>
      </c>
      <c r="M485" t="s">
        <v>35</v>
      </c>
      <c r="N485" t="s">
        <v>35</v>
      </c>
      <c r="O485" t="str">
        <f t="shared" si="16"/>
        <v>True</v>
      </c>
      <c r="P485" s="3">
        <v>88410.718217008194</v>
      </c>
      <c r="Q485" s="3">
        <v>0</v>
      </c>
      <c r="R485" s="3">
        <v>0</v>
      </c>
      <c r="S485" s="3">
        <v>5641.5327166088282</v>
      </c>
      <c r="T485" s="3">
        <v>3265.1718273216438</v>
      </c>
      <c r="U485">
        <v>0.15602811583887399</v>
      </c>
      <c r="V485" s="3">
        <v>-23107.281670575321</v>
      </c>
      <c r="W485">
        <v>27.076896069365439</v>
      </c>
      <c r="X485">
        <v>1.8828943160629379</v>
      </c>
      <c r="Y485">
        <v>1.0897700648855511</v>
      </c>
      <c r="Z485" s="5">
        <v>0.36659707428453048</v>
      </c>
      <c r="AA485">
        <v>31.381571934382301</v>
      </c>
      <c r="AB485">
        <v>23.834105266619471</v>
      </c>
      <c r="AC485">
        <v>13.7945577833614</v>
      </c>
      <c r="AD485" s="5">
        <v>0.36659707428453042</v>
      </c>
      <c r="AE485">
        <v>397.23508777699118</v>
      </c>
      <c r="AF485">
        <v>229.90929638935671</v>
      </c>
      <c r="AG485">
        <v>18.162834414759178</v>
      </c>
      <c r="AH485" t="str">
        <f t="shared" si="15"/>
        <v>True</v>
      </c>
      <c r="AI485">
        <v>2</v>
      </c>
    </row>
    <row r="486" spans="1:35" x14ac:dyDescent="0.35">
      <c r="A486" t="s">
        <v>580</v>
      </c>
      <c r="B486" t="s">
        <v>575</v>
      </c>
      <c r="C486" t="s">
        <v>33</v>
      </c>
      <c r="D486" t="s">
        <v>422</v>
      </c>
      <c r="E486" t="s">
        <v>34</v>
      </c>
      <c r="F486" t="s">
        <v>422</v>
      </c>
      <c r="G486" t="s">
        <v>37</v>
      </c>
      <c r="H486" t="s">
        <v>35</v>
      </c>
      <c r="I486" t="s">
        <v>35</v>
      </c>
      <c r="J486" t="s">
        <v>35</v>
      </c>
      <c r="K486" t="s">
        <v>35</v>
      </c>
      <c r="L486" t="s">
        <v>35</v>
      </c>
      <c r="M486" t="s">
        <v>37</v>
      </c>
      <c r="N486" t="s">
        <v>35</v>
      </c>
      <c r="O486" t="str">
        <f t="shared" si="16"/>
        <v>True</v>
      </c>
      <c r="P486" s="3">
        <v>93552.93221004236</v>
      </c>
      <c r="Q486" s="3">
        <v>0</v>
      </c>
      <c r="R486" s="3">
        <v>0</v>
      </c>
      <c r="S486" s="3">
        <v>5918.4035951434898</v>
      </c>
      <c r="T486" s="3">
        <v>2988.3009487869831</v>
      </c>
      <c r="U486">
        <v>0.13494868927955361</v>
      </c>
      <c r="V486" s="3">
        <v>-33786.913234302709</v>
      </c>
      <c r="W486">
        <v>31.306395779186019</v>
      </c>
      <c r="X486">
        <v>1.975301580128161</v>
      </c>
      <c r="Y486">
        <v>0.99736280082032802</v>
      </c>
      <c r="Z486" s="5">
        <v>0.3355114042514612</v>
      </c>
      <c r="AA486">
        <v>32.921693002136017</v>
      </c>
      <c r="AB486">
        <v>25.00381746997672</v>
      </c>
      <c r="AC486">
        <v>12.62484558000415</v>
      </c>
      <c r="AD486" s="5">
        <v>0.33551140425146109</v>
      </c>
      <c r="AE486">
        <v>416.73029116627862</v>
      </c>
      <c r="AF486">
        <v>210.41409300006919</v>
      </c>
      <c r="AG486">
        <v>16.622713347005469</v>
      </c>
      <c r="AH486" t="str">
        <f t="shared" si="15"/>
        <v>True</v>
      </c>
      <c r="AI486">
        <v>2</v>
      </c>
    </row>
    <row r="487" spans="1:35" x14ac:dyDescent="0.35">
      <c r="A487" t="s">
        <v>581</v>
      </c>
      <c r="B487" t="s">
        <v>575</v>
      </c>
      <c r="C487" t="s">
        <v>33</v>
      </c>
      <c r="D487" t="s">
        <v>422</v>
      </c>
      <c r="E487" t="s">
        <v>34</v>
      </c>
      <c r="F487" t="s">
        <v>422</v>
      </c>
      <c r="G487" t="s">
        <v>35</v>
      </c>
      <c r="H487" t="s">
        <v>37</v>
      </c>
      <c r="I487" t="s">
        <v>35</v>
      </c>
      <c r="J487" t="s">
        <v>35</v>
      </c>
      <c r="K487" t="s">
        <v>35</v>
      </c>
      <c r="L487" t="s">
        <v>35</v>
      </c>
      <c r="M487" t="s">
        <v>35</v>
      </c>
      <c r="N487" t="s">
        <v>35</v>
      </c>
      <c r="O487" t="str">
        <f t="shared" si="16"/>
        <v>False</v>
      </c>
      <c r="P487" s="3">
        <v>62696.374751126117</v>
      </c>
      <c r="Q487" s="3">
        <v>0</v>
      </c>
      <c r="R487" s="3">
        <v>0</v>
      </c>
      <c r="S487" s="3">
        <v>6959.0075792674606</v>
      </c>
      <c r="T487" s="3">
        <v>1947.6969646630109</v>
      </c>
      <c r="U487">
        <v>0.13124437524400409</v>
      </c>
      <c r="V487" s="3">
        <v>-23742.4354578659</v>
      </c>
      <c r="W487">
        <v>32.190004856311823</v>
      </c>
      <c r="X487">
        <v>2.3226092047407239</v>
      </c>
      <c r="Y487">
        <v>0.65005517620776487</v>
      </c>
      <c r="Z487" s="5">
        <v>0.21867762145431011</v>
      </c>
      <c r="AA487">
        <v>38.710153412345413</v>
      </c>
      <c r="AB487">
        <v>29.400116515705371</v>
      </c>
      <c r="AC487">
        <v>8.2285465342755018</v>
      </c>
      <c r="AD487" s="5">
        <v>0.21867762145431011</v>
      </c>
      <c r="AE487">
        <v>490.00194192842281</v>
      </c>
      <c r="AF487">
        <v>137.142442237925</v>
      </c>
      <c r="AG487">
        <v>10.83425293679608</v>
      </c>
      <c r="AH487" t="str">
        <f t="shared" si="15"/>
        <v>False</v>
      </c>
      <c r="AI487">
        <v>2</v>
      </c>
    </row>
    <row r="488" spans="1:35" x14ac:dyDescent="0.35">
      <c r="A488" t="s">
        <v>582</v>
      </c>
      <c r="B488" t="s">
        <v>575</v>
      </c>
      <c r="C488" t="s">
        <v>33</v>
      </c>
      <c r="D488" t="s">
        <v>422</v>
      </c>
      <c r="E488" t="s">
        <v>34</v>
      </c>
      <c r="F488" t="s">
        <v>422</v>
      </c>
      <c r="G488" t="s">
        <v>37</v>
      </c>
      <c r="H488" t="s">
        <v>35</v>
      </c>
      <c r="I488" t="s">
        <v>35</v>
      </c>
      <c r="J488" t="s">
        <v>35</v>
      </c>
      <c r="K488" t="s">
        <v>35</v>
      </c>
      <c r="L488" t="s">
        <v>37</v>
      </c>
      <c r="M488" t="s">
        <v>37</v>
      </c>
      <c r="N488" t="s">
        <v>35</v>
      </c>
      <c r="O488" t="str">
        <f t="shared" si="16"/>
        <v>True</v>
      </c>
      <c r="P488" s="3">
        <v>132257.70107924819</v>
      </c>
      <c r="Q488" s="3">
        <v>0</v>
      </c>
      <c r="R488" s="3">
        <v>0</v>
      </c>
      <c r="S488" s="3">
        <v>5115.1211393682324</v>
      </c>
      <c r="T488" s="3">
        <v>3791.583404562241</v>
      </c>
      <c r="U488">
        <v>0.1211159629173134</v>
      </c>
      <c r="V488" s="3">
        <v>-56426.032988003368</v>
      </c>
      <c r="W488">
        <v>34.881917913267714</v>
      </c>
      <c r="X488">
        <v>1.707201394212464</v>
      </c>
      <c r="Y488">
        <v>1.265462986736025</v>
      </c>
      <c r="Z488" s="5">
        <v>0.42569991918571493</v>
      </c>
      <c r="AA488">
        <v>28.453356570207738</v>
      </c>
      <c r="AB488">
        <v>21.610144230537522</v>
      </c>
      <c r="AC488">
        <v>16.018518819443351</v>
      </c>
      <c r="AD488" s="5">
        <v>0.42569991918571481</v>
      </c>
      <c r="AE488">
        <v>360.16907050895873</v>
      </c>
      <c r="AF488">
        <v>266.97531365738922</v>
      </c>
      <c r="AG488">
        <v>21.091049778933741</v>
      </c>
      <c r="AH488" t="str">
        <f t="shared" si="15"/>
        <v>True</v>
      </c>
      <c r="AI488">
        <v>2</v>
      </c>
    </row>
    <row r="489" spans="1:35" x14ac:dyDescent="0.35">
      <c r="A489" t="s">
        <v>583</v>
      </c>
      <c r="B489" t="s">
        <v>575</v>
      </c>
      <c r="C489" t="s">
        <v>33</v>
      </c>
      <c r="D489" t="s">
        <v>422</v>
      </c>
      <c r="E489" t="s">
        <v>34</v>
      </c>
      <c r="F489" t="s">
        <v>422</v>
      </c>
      <c r="G489" t="s">
        <v>37</v>
      </c>
      <c r="H489" t="s">
        <v>35</v>
      </c>
      <c r="I489" t="s">
        <v>35</v>
      </c>
      <c r="J489" t="s">
        <v>35</v>
      </c>
      <c r="K489" t="s">
        <v>37</v>
      </c>
      <c r="L489" t="s">
        <v>35</v>
      </c>
      <c r="M489" t="s">
        <v>37</v>
      </c>
      <c r="N489" t="s">
        <v>35</v>
      </c>
      <c r="O489" t="str">
        <f t="shared" si="16"/>
        <v>True</v>
      </c>
      <c r="P489" s="3">
        <v>117135.3920782088</v>
      </c>
      <c r="Q489" s="3">
        <v>0</v>
      </c>
      <c r="R489" s="3">
        <v>0</v>
      </c>
      <c r="S489" s="3">
        <v>5632.1671291400053</v>
      </c>
      <c r="T489" s="3">
        <v>3274.5374147904658</v>
      </c>
      <c r="U489">
        <v>0.1181037163051355</v>
      </c>
      <c r="V489" s="3">
        <v>-51644.643782399471</v>
      </c>
      <c r="W489">
        <v>35.771584575314478</v>
      </c>
      <c r="X489">
        <v>1.8797684968401369</v>
      </c>
      <c r="Y489">
        <v>1.092895884108352</v>
      </c>
      <c r="Z489" s="5">
        <v>0.36764859535190492</v>
      </c>
      <c r="AA489">
        <v>31.329474947335619</v>
      </c>
      <c r="AB489">
        <v>23.79453793468528</v>
      </c>
      <c r="AC489">
        <v>13.83412511529559</v>
      </c>
      <c r="AD489" s="5">
        <v>0.36764859535190492</v>
      </c>
      <c r="AE489">
        <v>396.57563224475467</v>
      </c>
      <c r="AF489">
        <v>230.56875192159319</v>
      </c>
      <c r="AG489">
        <v>18.21493140180586</v>
      </c>
      <c r="AH489" t="str">
        <f t="shared" si="15"/>
        <v>True</v>
      </c>
      <c r="AI489">
        <v>2</v>
      </c>
    </row>
    <row r="490" spans="1:35" x14ac:dyDescent="0.35">
      <c r="A490" t="s">
        <v>584</v>
      </c>
      <c r="B490" t="s">
        <v>575</v>
      </c>
      <c r="C490" t="s">
        <v>33</v>
      </c>
      <c r="D490" t="s">
        <v>422</v>
      </c>
      <c r="E490" t="s">
        <v>34</v>
      </c>
      <c r="F490" t="s">
        <v>422</v>
      </c>
      <c r="G490" t="s">
        <v>37</v>
      </c>
      <c r="H490" t="s">
        <v>35</v>
      </c>
      <c r="I490" t="s">
        <v>37</v>
      </c>
      <c r="J490" t="s">
        <v>35</v>
      </c>
      <c r="K490" t="s">
        <v>35</v>
      </c>
      <c r="L490" t="s">
        <v>35</v>
      </c>
      <c r="M490" t="s">
        <v>35</v>
      </c>
      <c r="N490" t="s">
        <v>35</v>
      </c>
      <c r="O490" t="str">
        <f t="shared" si="16"/>
        <v>True</v>
      </c>
      <c r="P490" s="3">
        <v>110228.3824384636</v>
      </c>
      <c r="Q490" s="3">
        <v>0</v>
      </c>
      <c r="R490" s="3">
        <v>0</v>
      </c>
      <c r="S490" s="3">
        <v>5843.4995999014</v>
      </c>
      <c r="T490" s="3">
        <v>3063.2049440290721</v>
      </c>
      <c r="U490">
        <v>0.1174043969227576</v>
      </c>
      <c r="V490" s="3">
        <v>-48964.283557882147</v>
      </c>
      <c r="W490">
        <v>35.984658046901302</v>
      </c>
      <c r="X490">
        <v>1.9503019365957359</v>
      </c>
      <c r="Y490">
        <v>1.022362444352753</v>
      </c>
      <c r="Z490" s="5">
        <v>0.34392124819235331</v>
      </c>
      <c r="AA490">
        <v>32.505032276595593</v>
      </c>
      <c r="AB490">
        <v>24.68736628602197</v>
      </c>
      <c r="AC490">
        <v>12.941296763958899</v>
      </c>
      <c r="AD490" s="5">
        <v>0.3439212481923532</v>
      </c>
      <c r="AE490">
        <v>411.45610476703291</v>
      </c>
      <c r="AF490">
        <v>215.68827939931501</v>
      </c>
      <c r="AG490">
        <v>17.03937407254589</v>
      </c>
      <c r="AH490" t="str">
        <f t="shared" si="15"/>
        <v>True</v>
      </c>
      <c r="AI490">
        <v>2</v>
      </c>
    </row>
    <row r="491" spans="1:35" x14ac:dyDescent="0.35">
      <c r="A491" t="s">
        <v>585</v>
      </c>
      <c r="B491" t="s">
        <v>575</v>
      </c>
      <c r="C491" t="s">
        <v>33</v>
      </c>
      <c r="D491" t="s">
        <v>422</v>
      </c>
      <c r="E491" t="s">
        <v>34</v>
      </c>
      <c r="F491" t="s">
        <v>422</v>
      </c>
      <c r="G491" t="s">
        <v>35</v>
      </c>
      <c r="H491" t="s">
        <v>37</v>
      </c>
      <c r="I491" t="s">
        <v>35</v>
      </c>
      <c r="J491" t="s">
        <v>35</v>
      </c>
      <c r="K491" t="s">
        <v>35</v>
      </c>
      <c r="L491" t="s">
        <v>37</v>
      </c>
      <c r="M491" t="s">
        <v>35</v>
      </c>
      <c r="N491" t="s">
        <v>35</v>
      </c>
      <c r="O491" t="str">
        <f t="shared" si="16"/>
        <v>True</v>
      </c>
      <c r="P491" s="3">
        <v>101401.143620332</v>
      </c>
      <c r="Q491" s="3">
        <v>0</v>
      </c>
      <c r="R491" s="3">
        <v>0</v>
      </c>
      <c r="S491" s="3">
        <v>6117.5055851223869</v>
      </c>
      <c r="T491" s="3">
        <v>2789.1989588080851</v>
      </c>
      <c r="U491">
        <v>0.1162086305754363</v>
      </c>
      <c r="V491" s="3">
        <v>-45617.16444417031</v>
      </c>
      <c r="W491">
        <v>36.354933842246957</v>
      </c>
      <c r="X491">
        <v>2.041753025875237</v>
      </c>
      <c r="Y491">
        <v>0.93091135507325218</v>
      </c>
      <c r="Z491" s="5">
        <v>0.31315723397480411</v>
      </c>
      <c r="AA491">
        <v>34.029217097920608</v>
      </c>
      <c r="AB491">
        <v>25.844975011078951</v>
      </c>
      <c r="AC491">
        <v>11.78368803890192</v>
      </c>
      <c r="AD491" s="5">
        <v>0.31315723397480399</v>
      </c>
      <c r="AE491">
        <v>430.7495835179825</v>
      </c>
      <c r="AF491">
        <v>196.3948006483653</v>
      </c>
      <c r="AG491">
        <v>15.515189251220869</v>
      </c>
      <c r="AH491" t="str">
        <f t="shared" si="15"/>
        <v>False</v>
      </c>
      <c r="AI491">
        <v>2</v>
      </c>
    </row>
    <row r="492" spans="1:35" x14ac:dyDescent="0.35">
      <c r="A492" t="s">
        <v>586</v>
      </c>
      <c r="B492" t="s">
        <v>575</v>
      </c>
      <c r="C492" t="s">
        <v>33</v>
      </c>
      <c r="D492" t="s">
        <v>422</v>
      </c>
      <c r="E492" t="s">
        <v>34</v>
      </c>
      <c r="F492" t="s">
        <v>422</v>
      </c>
      <c r="G492" t="s">
        <v>37</v>
      </c>
      <c r="H492" t="s">
        <v>35</v>
      </c>
      <c r="I492" t="s">
        <v>35</v>
      </c>
      <c r="J492" t="s">
        <v>35</v>
      </c>
      <c r="K492" t="s">
        <v>37</v>
      </c>
      <c r="L492" t="s">
        <v>37</v>
      </c>
      <c r="M492" t="s">
        <v>37</v>
      </c>
      <c r="N492" t="s">
        <v>35</v>
      </c>
      <c r="O492" t="str">
        <f t="shared" si="16"/>
        <v>True</v>
      </c>
      <c r="P492" s="3">
        <v>155840.1609474147</v>
      </c>
      <c r="Q492" s="3">
        <v>0</v>
      </c>
      <c r="R492" s="3">
        <v>0</v>
      </c>
      <c r="S492" s="3">
        <v>4837.047899280733</v>
      </c>
      <c r="T492" s="3">
        <v>4069.6566446497391</v>
      </c>
      <c r="U492">
        <v>0.1103265718140588</v>
      </c>
      <c r="V492" s="3">
        <v>-74447.028054419919</v>
      </c>
      <c r="W492">
        <v>38.293196344289463</v>
      </c>
      <c r="X492">
        <v>1.614392834994415</v>
      </c>
      <c r="Y492">
        <v>1.3582715459540751</v>
      </c>
      <c r="Z492" s="5">
        <v>0.45692058432801969</v>
      </c>
      <c r="AA492">
        <v>26.906547249906911</v>
      </c>
      <c r="AB492">
        <v>20.435352341701449</v>
      </c>
      <c r="AC492">
        <v>17.193310708279419</v>
      </c>
      <c r="AD492" s="5">
        <v>0.45692058432801969</v>
      </c>
      <c r="AE492">
        <v>340.58920569502408</v>
      </c>
      <c r="AF492">
        <v>286.5551784713237</v>
      </c>
      <c r="AG492">
        <v>22.637859099234571</v>
      </c>
      <c r="AH492" t="str">
        <f t="shared" si="15"/>
        <v>True</v>
      </c>
      <c r="AI492">
        <v>2</v>
      </c>
    </row>
    <row r="493" spans="1:35" x14ac:dyDescent="0.35">
      <c r="A493" t="s">
        <v>587</v>
      </c>
      <c r="B493" t="s">
        <v>575</v>
      </c>
      <c r="C493" t="s">
        <v>33</v>
      </c>
      <c r="D493" t="s">
        <v>422</v>
      </c>
      <c r="E493" t="s">
        <v>34</v>
      </c>
      <c r="F493" t="s">
        <v>422</v>
      </c>
      <c r="G493" t="s">
        <v>35</v>
      </c>
      <c r="H493" t="s">
        <v>37</v>
      </c>
      <c r="I493" t="s">
        <v>35</v>
      </c>
      <c r="J493" t="s">
        <v>35</v>
      </c>
      <c r="K493" t="s">
        <v>37</v>
      </c>
      <c r="L493" t="s">
        <v>35</v>
      </c>
      <c r="M493" t="s">
        <v>35</v>
      </c>
      <c r="N493" t="s">
        <v>35</v>
      </c>
      <c r="O493" t="str">
        <f t="shared" si="16"/>
        <v>True</v>
      </c>
      <c r="P493" s="3">
        <v>86278.834619292582</v>
      </c>
      <c r="Q493" s="3">
        <v>0</v>
      </c>
      <c r="R493" s="3">
        <v>0</v>
      </c>
      <c r="S493" s="3">
        <v>6657.109718775886</v>
      </c>
      <c r="T493" s="3">
        <v>2249.594825154586</v>
      </c>
      <c r="U493">
        <v>0.1101543814157256</v>
      </c>
      <c r="V493" s="3">
        <v>-41286.938116200872</v>
      </c>
      <c r="W493">
        <v>38.353055250010968</v>
      </c>
      <c r="X493">
        <v>2.221849040064618</v>
      </c>
      <c r="Y493">
        <v>0.75081534088387114</v>
      </c>
      <c r="Z493" s="5">
        <v>0.25257319517661397</v>
      </c>
      <c r="AA493">
        <v>37.030817334410287</v>
      </c>
      <c r="AB493">
        <v>28.124671393223011</v>
      </c>
      <c r="AC493">
        <v>9.5039916567578615</v>
      </c>
      <c r="AD493" s="5">
        <v>0.25257319517661397</v>
      </c>
      <c r="AE493">
        <v>468.74452322038348</v>
      </c>
      <c r="AF493">
        <v>158.39986094596441</v>
      </c>
      <c r="AG493">
        <v>12.51358901473119</v>
      </c>
      <c r="AH493" t="str">
        <f t="shared" si="15"/>
        <v>False</v>
      </c>
      <c r="AI493">
        <v>2</v>
      </c>
    </row>
    <row r="494" spans="1:35" x14ac:dyDescent="0.35">
      <c r="A494" t="s">
        <v>588</v>
      </c>
      <c r="B494" t="s">
        <v>575</v>
      </c>
      <c r="C494" t="s">
        <v>33</v>
      </c>
      <c r="D494" t="s">
        <v>422</v>
      </c>
      <c r="E494" t="s">
        <v>34</v>
      </c>
      <c r="F494" t="s">
        <v>422</v>
      </c>
      <c r="G494" t="s">
        <v>37</v>
      </c>
      <c r="H494" t="s">
        <v>35</v>
      </c>
      <c r="I494" t="s">
        <v>37</v>
      </c>
      <c r="J494" t="s">
        <v>35</v>
      </c>
      <c r="K494" t="s">
        <v>35</v>
      </c>
      <c r="L494" t="s">
        <v>37</v>
      </c>
      <c r="M494" t="s">
        <v>35</v>
      </c>
      <c r="N494" t="s">
        <v>35</v>
      </c>
      <c r="O494" t="str">
        <f t="shared" si="16"/>
        <v>True</v>
      </c>
      <c r="P494" s="3">
        <v>148933.1513076695</v>
      </c>
      <c r="Q494" s="3">
        <v>0</v>
      </c>
      <c r="R494" s="3">
        <v>0</v>
      </c>
      <c r="S494" s="3">
        <v>5033.7831425777531</v>
      </c>
      <c r="T494" s="3">
        <v>3872.9214013527189</v>
      </c>
      <c r="U494">
        <v>0.1098623909673969</v>
      </c>
      <c r="V494" s="3">
        <v>-71474.723280615115</v>
      </c>
      <c r="W494">
        <v>38.454989366851272</v>
      </c>
      <c r="X494">
        <v>1.6800543652878861</v>
      </c>
      <c r="Y494">
        <v>1.292610015660604</v>
      </c>
      <c r="Z494" s="5">
        <v>0.43483214046792928</v>
      </c>
      <c r="AA494">
        <v>28.00090608813143</v>
      </c>
      <c r="AB494">
        <v>21.26651095301121</v>
      </c>
      <c r="AC494">
        <v>16.362152096969659</v>
      </c>
      <c r="AD494" s="5">
        <v>0.43483214046792928</v>
      </c>
      <c r="AE494">
        <v>354.44184921685348</v>
      </c>
      <c r="AF494">
        <v>272.70253494949441</v>
      </c>
      <c r="AG494">
        <v>21.543500261010049</v>
      </c>
      <c r="AH494" t="str">
        <f t="shared" si="15"/>
        <v>True</v>
      </c>
      <c r="AI494">
        <v>2</v>
      </c>
    </row>
    <row r="495" spans="1:35" x14ac:dyDescent="0.35">
      <c r="A495" t="s">
        <v>589</v>
      </c>
      <c r="B495" t="s">
        <v>575</v>
      </c>
      <c r="C495" t="s">
        <v>33</v>
      </c>
      <c r="D495" t="s">
        <v>422</v>
      </c>
      <c r="E495" t="s">
        <v>34</v>
      </c>
      <c r="F495" t="s">
        <v>422</v>
      </c>
      <c r="G495" t="s">
        <v>37</v>
      </c>
      <c r="H495" t="s">
        <v>35</v>
      </c>
      <c r="I495" t="s">
        <v>37</v>
      </c>
      <c r="J495" t="s">
        <v>35</v>
      </c>
      <c r="K495" t="s">
        <v>37</v>
      </c>
      <c r="L495" t="s">
        <v>35</v>
      </c>
      <c r="M495" t="s">
        <v>35</v>
      </c>
      <c r="N495" t="s">
        <v>35</v>
      </c>
      <c r="O495" t="str">
        <f t="shared" si="16"/>
        <v>True</v>
      </c>
      <c r="P495" s="3">
        <v>133810.8423066301</v>
      </c>
      <c r="Q495" s="3">
        <v>0</v>
      </c>
      <c r="R495" s="3">
        <v>0</v>
      </c>
      <c r="S495" s="3">
        <v>5551.1793060763612</v>
      </c>
      <c r="T495" s="3">
        <v>3355.5252378541109</v>
      </c>
      <c r="U495">
        <v>0.10594267810829749</v>
      </c>
      <c r="V495" s="3">
        <v>-66700.337549547883</v>
      </c>
      <c r="W495">
        <v>39.877763635061598</v>
      </c>
      <c r="X495">
        <v>1.8527383404310629</v>
      </c>
      <c r="Y495">
        <v>1.1199260405174269</v>
      </c>
      <c r="Z495" s="5">
        <v>0.37674150088887298</v>
      </c>
      <c r="AA495">
        <v>30.878972340517709</v>
      </c>
      <c r="AB495">
        <v>23.4523840560894</v>
      </c>
      <c r="AC495">
        <v>14.17627899389147</v>
      </c>
      <c r="AD495" s="5">
        <v>0.37674150088887298</v>
      </c>
      <c r="AE495">
        <v>390.87306760148999</v>
      </c>
      <c r="AF495">
        <v>236.2713165648579</v>
      </c>
      <c r="AG495">
        <v>18.66543400862377</v>
      </c>
      <c r="AH495" t="str">
        <f t="shared" si="15"/>
        <v>True</v>
      </c>
      <c r="AI495">
        <v>2</v>
      </c>
    </row>
    <row r="496" spans="1:35" x14ac:dyDescent="0.35">
      <c r="A496" t="s">
        <v>590</v>
      </c>
      <c r="B496" t="s">
        <v>575</v>
      </c>
      <c r="C496" t="s">
        <v>33</v>
      </c>
      <c r="D496" t="s">
        <v>422</v>
      </c>
      <c r="E496" t="s">
        <v>34</v>
      </c>
      <c r="F496" t="s">
        <v>422</v>
      </c>
      <c r="G496" t="s">
        <v>35</v>
      </c>
      <c r="H496" t="s">
        <v>37</v>
      </c>
      <c r="I496" t="s">
        <v>35</v>
      </c>
      <c r="J496" t="s">
        <v>35</v>
      </c>
      <c r="K496" t="s">
        <v>37</v>
      </c>
      <c r="L496" t="s">
        <v>37</v>
      </c>
      <c r="M496" t="s">
        <v>35</v>
      </c>
      <c r="N496" t="s">
        <v>35</v>
      </c>
      <c r="O496" t="str">
        <f t="shared" si="16"/>
        <v>True</v>
      </c>
      <c r="P496" s="3">
        <v>124983.6034884984</v>
      </c>
      <c r="Q496" s="3">
        <v>0</v>
      </c>
      <c r="R496" s="3">
        <v>0</v>
      </c>
      <c r="S496" s="3">
        <v>5822.8131383653317</v>
      </c>
      <c r="T496" s="3">
        <v>3083.8914055651412</v>
      </c>
      <c r="U496">
        <v>0.1042432101097122</v>
      </c>
      <c r="V496" s="3">
        <v>-63305.775377195583</v>
      </c>
      <c r="W496">
        <v>40.527887351336368</v>
      </c>
      <c r="X496">
        <v>1.9433977098895701</v>
      </c>
      <c r="Y496">
        <v>1.0292666710589189</v>
      </c>
      <c r="Z496" s="5">
        <v>0.34624382007447158</v>
      </c>
      <c r="AA496">
        <v>32.389961831492833</v>
      </c>
      <c r="AB496">
        <v>24.599971011260379</v>
      </c>
      <c r="AC496">
        <v>13.028692038720489</v>
      </c>
      <c r="AD496" s="5">
        <v>0.34624382007447158</v>
      </c>
      <c r="AE496">
        <v>409.99951685433967</v>
      </c>
      <c r="AF496">
        <v>217.14486731200819</v>
      </c>
      <c r="AG496">
        <v>17.154444517648649</v>
      </c>
      <c r="AH496" t="str">
        <f t="shared" si="15"/>
        <v>False</v>
      </c>
      <c r="AI496">
        <v>2</v>
      </c>
    </row>
    <row r="497" spans="1:35" x14ac:dyDescent="0.35">
      <c r="A497" t="s">
        <v>591</v>
      </c>
      <c r="B497" t="s">
        <v>592</v>
      </c>
      <c r="C497" t="s">
        <v>33</v>
      </c>
      <c r="D497" t="s">
        <v>34</v>
      </c>
      <c r="E497" t="s">
        <v>52</v>
      </c>
      <c r="F497" t="s">
        <v>34</v>
      </c>
      <c r="G497" t="s">
        <v>35</v>
      </c>
      <c r="H497" t="s">
        <v>35</v>
      </c>
      <c r="I497" t="s">
        <v>35</v>
      </c>
      <c r="J497" t="s">
        <v>35</v>
      </c>
      <c r="K497" t="s">
        <v>35</v>
      </c>
      <c r="L497" t="s">
        <v>35</v>
      </c>
      <c r="M497" t="s">
        <v>35</v>
      </c>
      <c r="N497" t="s">
        <v>35</v>
      </c>
      <c r="O497" t="str">
        <f t="shared" si="16"/>
        <v>False</v>
      </c>
      <c r="P497" s="3">
        <v>0</v>
      </c>
      <c r="Q497" s="3">
        <v>0</v>
      </c>
      <c r="R497" s="3">
        <v>0</v>
      </c>
      <c r="S497" s="3">
        <v>8435.8058944710992</v>
      </c>
      <c r="T497" s="3">
        <v>0</v>
      </c>
      <c r="U497">
        <v>0</v>
      </c>
      <c r="V497" s="3">
        <v>0</v>
      </c>
      <c r="W497">
        <v>0</v>
      </c>
      <c r="X497">
        <v>2.815499221221871</v>
      </c>
      <c r="Y497">
        <v>-4.4408920985006262E-16</v>
      </c>
      <c r="Z497" s="5">
        <v>-1.577301838703179E-16</v>
      </c>
      <c r="AA497">
        <v>7.0211950653912014</v>
      </c>
      <c r="AB497">
        <v>35.639230648378117</v>
      </c>
      <c r="AC497">
        <v>0</v>
      </c>
      <c r="AD497" s="5">
        <v>0</v>
      </c>
      <c r="AE497">
        <v>88.875886903686066</v>
      </c>
      <c r="AF497">
        <v>0</v>
      </c>
      <c r="AG497">
        <v>8.8817841970012523E-16</v>
      </c>
      <c r="AH497" t="str">
        <f t="shared" si="15"/>
        <v>False</v>
      </c>
      <c r="AI497">
        <v>0</v>
      </c>
    </row>
    <row r="498" spans="1:35" x14ac:dyDescent="0.35">
      <c r="A498" t="s">
        <v>593</v>
      </c>
      <c r="B498" t="s">
        <v>592</v>
      </c>
      <c r="C498" t="s">
        <v>33</v>
      </c>
      <c r="D498" t="s">
        <v>39</v>
      </c>
      <c r="E498" t="s">
        <v>52</v>
      </c>
      <c r="F498" t="s">
        <v>39</v>
      </c>
      <c r="G498" t="s">
        <v>37</v>
      </c>
      <c r="H498" t="s">
        <v>35</v>
      </c>
      <c r="I498" t="s">
        <v>35</v>
      </c>
      <c r="J498" t="s">
        <v>35</v>
      </c>
      <c r="K498" t="s">
        <v>35</v>
      </c>
      <c r="L498" t="s">
        <v>35</v>
      </c>
      <c r="M498" t="s">
        <v>35</v>
      </c>
      <c r="N498" t="s">
        <v>35</v>
      </c>
      <c r="O498" t="str">
        <f t="shared" si="16"/>
        <v>False</v>
      </c>
      <c r="P498" s="3">
        <v>29519.25547373802</v>
      </c>
      <c r="Q498" s="3">
        <v>0</v>
      </c>
      <c r="R498" s="3">
        <v>0</v>
      </c>
      <c r="S498" s="3">
        <v>6582.3247208345383</v>
      </c>
      <c r="T498" s="3">
        <v>1853.4811736365609</v>
      </c>
      <c r="U498">
        <v>0.2652677914383012</v>
      </c>
      <c r="V498" s="3">
        <v>7550.3679989932061</v>
      </c>
      <c r="W498">
        <v>15.92638538422311</v>
      </c>
      <c r="X498">
        <v>2.1968891125725749</v>
      </c>
      <c r="Y498">
        <v>0.61861010864929566</v>
      </c>
      <c r="Z498" s="5">
        <v>0.2197159580036506</v>
      </c>
      <c r="AA498">
        <v>5.4785264652682679</v>
      </c>
      <c r="AB498">
        <v>27.808722943956649</v>
      </c>
      <c r="AC498">
        <v>7.8305077044214677</v>
      </c>
      <c r="AD498" s="5">
        <v>0.21971595800365071</v>
      </c>
      <c r="AE498">
        <v>69.348436269218581</v>
      </c>
      <c r="AF498">
        <v>19.527450634467499</v>
      </c>
      <c r="AG498">
        <v>1.5426686001229331</v>
      </c>
      <c r="AH498" t="str">
        <f t="shared" si="15"/>
        <v>True</v>
      </c>
      <c r="AI498">
        <v>2</v>
      </c>
    </row>
    <row r="499" spans="1:35" x14ac:dyDescent="0.35">
      <c r="A499" t="s">
        <v>594</v>
      </c>
      <c r="B499" t="s">
        <v>592</v>
      </c>
      <c r="C499" t="s">
        <v>33</v>
      </c>
      <c r="D499" t="s">
        <v>39</v>
      </c>
      <c r="E499" t="s">
        <v>52</v>
      </c>
      <c r="F499" t="s">
        <v>39</v>
      </c>
      <c r="G499" t="s">
        <v>37</v>
      </c>
      <c r="H499" t="s">
        <v>35</v>
      </c>
      <c r="I499" t="s">
        <v>35</v>
      </c>
      <c r="J499" t="s">
        <v>35</v>
      </c>
      <c r="K499" t="s">
        <v>37</v>
      </c>
      <c r="L499" t="s">
        <v>35</v>
      </c>
      <c r="M499" t="s">
        <v>35</v>
      </c>
      <c r="N499" t="s">
        <v>35</v>
      </c>
      <c r="O499" t="str">
        <f t="shared" si="16"/>
        <v>True</v>
      </c>
      <c r="P499" s="3">
        <v>61548.95009458829</v>
      </c>
      <c r="Q499" s="3">
        <v>0</v>
      </c>
      <c r="R499" s="3">
        <v>0</v>
      </c>
      <c r="S499" s="3">
        <v>6551.1588458591559</v>
      </c>
      <c r="T499" s="3">
        <v>1884.647048611944</v>
      </c>
      <c r="U499">
        <v>0.12936331071499649</v>
      </c>
      <c r="V499" s="3">
        <v>-23856.009122349398</v>
      </c>
      <c r="W499">
        <v>32.658077882497693</v>
      </c>
      <c r="X499">
        <v>2.1864873207556959</v>
      </c>
      <c r="Y499">
        <v>0.62901190046617472</v>
      </c>
      <c r="Z499" s="5">
        <v>0.2234104331214114</v>
      </c>
      <c r="AA499">
        <v>5.4525868348022346</v>
      </c>
      <c r="AB499">
        <v>27.67705469311008</v>
      </c>
      <c r="AC499">
        <v>7.9621759552680373</v>
      </c>
      <c r="AD499" s="5">
        <v>0.22341043312141151</v>
      </c>
      <c r="AE499">
        <v>69.020086516483985</v>
      </c>
      <c r="AF499">
        <v>19.855800387202091</v>
      </c>
      <c r="AG499">
        <v>1.568608230588967</v>
      </c>
      <c r="AH499" t="str">
        <f t="shared" si="15"/>
        <v>True</v>
      </c>
      <c r="AI499">
        <v>2</v>
      </c>
    </row>
    <row r="500" spans="1:35" x14ac:dyDescent="0.35">
      <c r="A500" t="s">
        <v>595</v>
      </c>
      <c r="B500" t="s">
        <v>592</v>
      </c>
      <c r="C500" t="s">
        <v>33</v>
      </c>
      <c r="D500" t="s">
        <v>39</v>
      </c>
      <c r="E500" t="s">
        <v>52</v>
      </c>
      <c r="F500" t="s">
        <v>39</v>
      </c>
      <c r="G500" t="s">
        <v>37</v>
      </c>
      <c r="H500" t="s">
        <v>35</v>
      </c>
      <c r="I500" t="s">
        <v>35</v>
      </c>
      <c r="J500" t="s">
        <v>35</v>
      </c>
      <c r="K500" t="s">
        <v>35</v>
      </c>
      <c r="L500" t="s">
        <v>37</v>
      </c>
      <c r="M500" t="s">
        <v>35</v>
      </c>
      <c r="N500" t="s">
        <v>35</v>
      </c>
      <c r="O500" t="str">
        <f t="shared" si="16"/>
        <v>True</v>
      </c>
      <c r="P500" s="3">
        <v>114598.1318103716</v>
      </c>
      <c r="Q500" s="3">
        <v>0</v>
      </c>
      <c r="R500" s="3">
        <v>0</v>
      </c>
      <c r="S500" s="3">
        <v>5188.1786246530583</v>
      </c>
      <c r="T500" s="3">
        <v>3247.627269818041</v>
      </c>
      <c r="U500">
        <v>0.11972652671684129</v>
      </c>
      <c r="V500" s="3">
        <v>-49645.586414010773</v>
      </c>
      <c r="W500">
        <v>35.286725442723707</v>
      </c>
      <c r="X500">
        <v>1.731584754320201</v>
      </c>
      <c r="Y500">
        <v>1.08391446690167</v>
      </c>
      <c r="Z500" s="5">
        <v>0.38498127036642282</v>
      </c>
      <c r="AA500">
        <v>4.318166469626437</v>
      </c>
      <c r="AB500">
        <v>21.918794358483559</v>
      </c>
      <c r="AC500">
        <v>13.720436289894559</v>
      </c>
      <c r="AD500" s="5">
        <v>0.38498127036642282</v>
      </c>
      <c r="AE500">
        <v>54.660335058562502</v>
      </c>
      <c r="AF500">
        <v>34.215551845123578</v>
      </c>
      <c r="AG500">
        <v>2.703028595764764</v>
      </c>
      <c r="AH500" t="str">
        <f t="shared" si="15"/>
        <v>True</v>
      </c>
      <c r="AI500">
        <v>2</v>
      </c>
    </row>
    <row r="501" spans="1:35" x14ac:dyDescent="0.35">
      <c r="A501" t="s">
        <v>596</v>
      </c>
      <c r="B501" t="s">
        <v>592</v>
      </c>
      <c r="C501" t="s">
        <v>33</v>
      </c>
      <c r="D501" t="s">
        <v>39</v>
      </c>
      <c r="E501" t="s">
        <v>52</v>
      </c>
      <c r="F501" t="s">
        <v>39</v>
      </c>
      <c r="G501" t="s">
        <v>37</v>
      </c>
      <c r="H501" t="s">
        <v>35</v>
      </c>
      <c r="I501" t="s">
        <v>35</v>
      </c>
      <c r="J501" t="s">
        <v>35</v>
      </c>
      <c r="K501" t="s">
        <v>35</v>
      </c>
      <c r="L501" t="s">
        <v>35</v>
      </c>
      <c r="M501" t="s">
        <v>37</v>
      </c>
      <c r="N501" t="s">
        <v>35</v>
      </c>
      <c r="O501" t="str">
        <f t="shared" si="16"/>
        <v>True</v>
      </c>
      <c r="P501" s="3">
        <v>74059.604400336335</v>
      </c>
      <c r="Q501" s="3">
        <v>0</v>
      </c>
      <c r="R501" s="3">
        <v>0</v>
      </c>
      <c r="S501" s="3">
        <v>6416.075345780323</v>
      </c>
      <c r="T501" s="3">
        <v>2019.7305486907769</v>
      </c>
      <c r="U501">
        <v>0.1152162639434976</v>
      </c>
      <c r="V501" s="3">
        <v>-33664.993426520778</v>
      </c>
      <c r="W501">
        <v>36.668061711668912</v>
      </c>
      <c r="X501">
        <v>2.141402417898798</v>
      </c>
      <c r="Y501">
        <v>0.67409680332307298</v>
      </c>
      <c r="Z501" s="5">
        <v>0.23942354458564841</v>
      </c>
      <c r="AA501">
        <v>5.3401556556079752</v>
      </c>
      <c r="AB501">
        <v>27.10635972023795</v>
      </c>
      <c r="AC501">
        <v>8.5328709281401665</v>
      </c>
      <c r="AD501" s="5">
        <v>0.23942354458564841</v>
      </c>
      <c r="AE501">
        <v>67.596907033012343</v>
      </c>
      <c r="AF501">
        <v>21.27897987067373</v>
      </c>
      <c r="AG501">
        <v>1.681039409783226</v>
      </c>
      <c r="AH501" t="str">
        <f t="shared" si="15"/>
        <v>True</v>
      </c>
      <c r="AI501">
        <v>2</v>
      </c>
    </row>
    <row r="502" spans="1:35" x14ac:dyDescent="0.35">
      <c r="A502" t="s">
        <v>597</v>
      </c>
      <c r="B502" t="s">
        <v>592</v>
      </c>
      <c r="C502" t="s">
        <v>33</v>
      </c>
      <c r="D502" t="s">
        <v>39</v>
      </c>
      <c r="E502" t="s">
        <v>52</v>
      </c>
      <c r="F502" t="s">
        <v>39</v>
      </c>
      <c r="G502" t="s">
        <v>37</v>
      </c>
      <c r="H502" t="s">
        <v>35</v>
      </c>
      <c r="I502" t="s">
        <v>35</v>
      </c>
      <c r="J502" t="s">
        <v>35</v>
      </c>
      <c r="K502" t="s">
        <v>37</v>
      </c>
      <c r="L502" t="s">
        <v>37</v>
      </c>
      <c r="M502" t="s">
        <v>35</v>
      </c>
      <c r="N502" t="s">
        <v>35</v>
      </c>
      <c r="O502" t="str">
        <f t="shared" si="16"/>
        <v>True</v>
      </c>
      <c r="P502" s="3">
        <v>146627.82643122191</v>
      </c>
      <c r="Q502" s="3">
        <v>0</v>
      </c>
      <c r="R502" s="3">
        <v>0</v>
      </c>
      <c r="S502" s="3">
        <v>5133.4452453769072</v>
      </c>
      <c r="T502" s="3">
        <v>3302.360649094192</v>
      </c>
      <c r="U502">
        <v>9.51502307636998E-2</v>
      </c>
      <c r="V502" s="3">
        <v>-80580.613449338067</v>
      </c>
      <c r="W502">
        <v>44.40091256278766</v>
      </c>
      <c r="X502">
        <v>1.713317171038343</v>
      </c>
      <c r="Y502">
        <v>1.102182050183528</v>
      </c>
      <c r="Z502" s="5">
        <v>0.39146949211557691</v>
      </c>
      <c r="AA502">
        <v>4.2726113990981123</v>
      </c>
      <c r="AB502">
        <v>21.68755912706763</v>
      </c>
      <c r="AC502">
        <v>13.951671521310489</v>
      </c>
      <c r="AD502" s="5">
        <v>0.39146949211557702</v>
      </c>
      <c r="AE502">
        <v>54.083688596178632</v>
      </c>
      <c r="AF502">
        <v>34.792198307507448</v>
      </c>
      <c r="AG502">
        <v>2.7485836662930891</v>
      </c>
      <c r="AH502" t="str">
        <f t="shared" si="15"/>
        <v>True</v>
      </c>
      <c r="AI502">
        <v>2</v>
      </c>
    </row>
    <row r="503" spans="1:35" x14ac:dyDescent="0.35">
      <c r="A503" t="s">
        <v>598</v>
      </c>
      <c r="B503" t="s">
        <v>592</v>
      </c>
      <c r="C503" t="s">
        <v>33</v>
      </c>
      <c r="D503" t="s">
        <v>39</v>
      </c>
      <c r="E503" t="s">
        <v>52</v>
      </c>
      <c r="F503" t="s">
        <v>39</v>
      </c>
      <c r="G503" t="s">
        <v>37</v>
      </c>
      <c r="H503" t="s">
        <v>35</v>
      </c>
      <c r="I503" t="s">
        <v>35</v>
      </c>
      <c r="J503" t="s">
        <v>35</v>
      </c>
      <c r="K503" t="s">
        <v>35</v>
      </c>
      <c r="L503" t="s">
        <v>37</v>
      </c>
      <c r="M503" t="s">
        <v>37</v>
      </c>
      <c r="N503" t="s">
        <v>35</v>
      </c>
      <c r="O503" t="str">
        <f t="shared" si="16"/>
        <v>True</v>
      </c>
      <c r="P503" s="3">
        <v>159138.48073696991</v>
      </c>
      <c r="Q503" s="3">
        <v>0</v>
      </c>
      <c r="R503" s="3">
        <v>0</v>
      </c>
      <c r="S503" s="3">
        <v>5091.2985705882274</v>
      </c>
      <c r="T503" s="3">
        <v>3344.5073238828732</v>
      </c>
      <c r="U503">
        <v>8.8788902083511201E-2</v>
      </c>
      <c r="V503" s="3">
        <v>-92248.33425931244</v>
      </c>
      <c r="W503">
        <v>47.582039842034163</v>
      </c>
      <c r="X503">
        <v>1.6992504734958589</v>
      </c>
      <c r="Y503">
        <v>1.1162487477260119</v>
      </c>
      <c r="Z503" s="5">
        <v>0.39646565671631823</v>
      </c>
      <c r="AA503">
        <v>4.2375323528575048</v>
      </c>
      <c r="AB503">
        <v>21.509499664504549</v>
      </c>
      <c r="AC503">
        <v>14.12973098387357</v>
      </c>
      <c r="AD503" s="5">
        <v>0.39646565671631828</v>
      </c>
      <c r="AE503">
        <v>53.639650036170949</v>
      </c>
      <c r="AF503">
        <v>35.236236867515132</v>
      </c>
      <c r="AG503">
        <v>2.783662712533697</v>
      </c>
      <c r="AH503" t="str">
        <f t="shared" si="15"/>
        <v>True</v>
      </c>
      <c r="AI503">
        <v>2</v>
      </c>
    </row>
    <row r="504" spans="1:35" x14ac:dyDescent="0.35">
      <c r="A504" t="s">
        <v>599</v>
      </c>
      <c r="B504" t="s">
        <v>592</v>
      </c>
      <c r="C504" t="s">
        <v>33</v>
      </c>
      <c r="D504" t="s">
        <v>39</v>
      </c>
      <c r="E504" t="s">
        <v>52</v>
      </c>
      <c r="F504" t="s">
        <v>39</v>
      </c>
      <c r="G504" t="s">
        <v>37</v>
      </c>
      <c r="H504" t="s">
        <v>35</v>
      </c>
      <c r="I504" t="s">
        <v>35</v>
      </c>
      <c r="J504" t="s">
        <v>35</v>
      </c>
      <c r="K504" t="s">
        <v>37</v>
      </c>
      <c r="L504" t="s">
        <v>35</v>
      </c>
      <c r="M504" t="s">
        <v>37</v>
      </c>
      <c r="N504" t="s">
        <v>35</v>
      </c>
      <c r="O504" t="str">
        <f t="shared" si="16"/>
        <v>True</v>
      </c>
      <c r="P504" s="3">
        <v>106089.2990211866</v>
      </c>
      <c r="Q504" s="3">
        <v>0</v>
      </c>
      <c r="R504" s="3">
        <v>0</v>
      </c>
      <c r="S504" s="3">
        <v>6385.1843874707893</v>
      </c>
      <c r="T504" s="3">
        <v>2050.62150700031</v>
      </c>
      <c r="U504">
        <v>8.1661183576367299E-2</v>
      </c>
      <c r="V504" s="3">
        <v>-65076.868881180388</v>
      </c>
      <c r="W504">
        <v>51.735192798390237</v>
      </c>
      <c r="X504">
        <v>2.1310923811161491</v>
      </c>
      <c r="Y504">
        <v>0.68440684010572239</v>
      </c>
      <c r="Z504" s="5">
        <v>0.24308543044409131</v>
      </c>
      <c r="AA504">
        <v>5.3144448406886502</v>
      </c>
      <c r="AB504">
        <v>26.975852925520869</v>
      </c>
      <c r="AC504">
        <v>8.6633777228572484</v>
      </c>
      <c r="AD504" s="5">
        <v>0.24308543044409139</v>
      </c>
      <c r="AE504">
        <v>67.271453679603155</v>
      </c>
      <c r="AF504">
        <v>21.604433224082911</v>
      </c>
      <c r="AG504">
        <v>1.706750224702551</v>
      </c>
      <c r="AH504" t="str">
        <f t="shared" si="15"/>
        <v>True</v>
      </c>
      <c r="AI504">
        <v>2</v>
      </c>
    </row>
    <row r="505" spans="1:35" x14ac:dyDescent="0.35">
      <c r="A505" t="s">
        <v>600</v>
      </c>
      <c r="B505" t="s">
        <v>592</v>
      </c>
      <c r="C505" t="s">
        <v>33</v>
      </c>
      <c r="D505" t="s">
        <v>39</v>
      </c>
      <c r="E505" t="s">
        <v>52</v>
      </c>
      <c r="F505" t="s">
        <v>39</v>
      </c>
      <c r="G505" t="s">
        <v>37</v>
      </c>
      <c r="H505" t="s">
        <v>35</v>
      </c>
      <c r="I505" t="s">
        <v>37</v>
      </c>
      <c r="J505" t="s">
        <v>35</v>
      </c>
      <c r="K505" t="s">
        <v>35</v>
      </c>
      <c r="L505" t="s">
        <v>35</v>
      </c>
      <c r="M505" t="s">
        <v>35</v>
      </c>
      <c r="N505" t="s">
        <v>35</v>
      </c>
      <c r="O505" t="str">
        <f t="shared" si="16"/>
        <v>True</v>
      </c>
      <c r="P505" s="3">
        <v>111985.74695592681</v>
      </c>
      <c r="Q505" s="3">
        <v>0</v>
      </c>
      <c r="R505" s="3">
        <v>0</v>
      </c>
      <c r="S505" s="3">
        <v>6328.1018491937084</v>
      </c>
      <c r="T505" s="3">
        <v>2107.7040452773922</v>
      </c>
      <c r="U505">
        <v>7.9514918839542897E-2</v>
      </c>
      <c r="V505" s="3">
        <v>-69831.666050378975</v>
      </c>
      <c r="W505">
        <v>53.131627852044353</v>
      </c>
      <c r="X505">
        <v>2.1120407523713691</v>
      </c>
      <c r="Y505">
        <v>0.70345846885050234</v>
      </c>
      <c r="Z505" s="5">
        <v>0.24985212695076339</v>
      </c>
      <c r="AA505">
        <v>5.2669345445670048</v>
      </c>
      <c r="AB505">
        <v>26.734693067992009</v>
      </c>
      <c r="AC505">
        <v>8.9045375803861084</v>
      </c>
      <c r="AD505" s="5">
        <v>0.24985212695076339</v>
      </c>
      <c r="AE505">
        <v>66.670057526164612</v>
      </c>
      <c r="AF505">
        <v>22.205829377521471</v>
      </c>
      <c r="AG505">
        <v>1.754260520824197</v>
      </c>
      <c r="AH505" t="str">
        <f t="shared" si="15"/>
        <v>True</v>
      </c>
      <c r="AI505">
        <v>2</v>
      </c>
    </row>
    <row r="506" spans="1:35" x14ac:dyDescent="0.35">
      <c r="A506" t="s">
        <v>601</v>
      </c>
      <c r="B506" t="s">
        <v>592</v>
      </c>
      <c r="C506" t="s">
        <v>33</v>
      </c>
      <c r="D506" t="s">
        <v>39</v>
      </c>
      <c r="E506" t="s">
        <v>52</v>
      </c>
      <c r="F506" t="s">
        <v>39</v>
      </c>
      <c r="G506" t="s">
        <v>35</v>
      </c>
      <c r="H506" t="s">
        <v>37</v>
      </c>
      <c r="I506" t="s">
        <v>35</v>
      </c>
      <c r="J506" t="s">
        <v>35</v>
      </c>
      <c r="K506" t="s">
        <v>35</v>
      </c>
      <c r="L506" t="s">
        <v>37</v>
      </c>
      <c r="M506" t="s">
        <v>35</v>
      </c>
      <c r="N506" t="s">
        <v>35</v>
      </c>
      <c r="O506" t="str">
        <f t="shared" si="16"/>
        <v>True</v>
      </c>
      <c r="P506" s="3">
        <v>155925.08947360481</v>
      </c>
      <c r="Q506" s="3">
        <v>0</v>
      </c>
      <c r="R506" s="3">
        <v>0</v>
      </c>
      <c r="S506" s="3">
        <v>5581.0788023547166</v>
      </c>
      <c r="T506" s="3">
        <v>2854.7270921163822</v>
      </c>
      <c r="U506">
        <v>7.7348222306747594E-2</v>
      </c>
      <c r="V506" s="3">
        <v>-98830.547631277164</v>
      </c>
      <c r="W506">
        <v>54.619963464881707</v>
      </c>
      <c r="X506">
        <v>1.862717471001363</v>
      </c>
      <c r="Y506">
        <v>0.9527817502205076</v>
      </c>
      <c r="Z506" s="5">
        <v>0.3384059718571043</v>
      </c>
      <c r="AA506">
        <v>4.6451807256891859</v>
      </c>
      <c r="AB506">
        <v>23.578702164574221</v>
      </c>
      <c r="AC506">
        <v>12.0605284838039</v>
      </c>
      <c r="AD506" s="5">
        <v>0.33840597185710442</v>
      </c>
      <c r="AE506">
        <v>58.799756021382088</v>
      </c>
      <c r="AF506">
        <v>30.076130882303978</v>
      </c>
      <c r="AG506">
        <v>2.376014339702015</v>
      </c>
      <c r="AH506" t="str">
        <f t="shared" si="15"/>
        <v>False</v>
      </c>
      <c r="AI506">
        <v>2</v>
      </c>
    </row>
    <row r="507" spans="1:35" x14ac:dyDescent="0.35">
      <c r="A507" t="s">
        <v>602</v>
      </c>
      <c r="B507" t="s">
        <v>592</v>
      </c>
      <c r="C507" t="s">
        <v>33</v>
      </c>
      <c r="D507" t="s">
        <v>39</v>
      </c>
      <c r="E507" t="s">
        <v>52</v>
      </c>
      <c r="F507" t="s">
        <v>39</v>
      </c>
      <c r="G507" t="s">
        <v>37</v>
      </c>
      <c r="H507" t="s">
        <v>35</v>
      </c>
      <c r="I507" t="s">
        <v>37</v>
      </c>
      <c r="J507" t="s">
        <v>35</v>
      </c>
      <c r="K507" t="s">
        <v>35</v>
      </c>
      <c r="L507" t="s">
        <v>37</v>
      </c>
      <c r="M507" t="s">
        <v>35</v>
      </c>
      <c r="N507" t="s">
        <v>35</v>
      </c>
      <c r="O507" t="str">
        <f t="shared" si="16"/>
        <v>True</v>
      </c>
      <c r="P507" s="3">
        <v>197064.6232925604</v>
      </c>
      <c r="Q507" s="3">
        <v>0</v>
      </c>
      <c r="R507" s="3">
        <v>0</v>
      </c>
      <c r="S507" s="3">
        <v>4893.1003300085422</v>
      </c>
      <c r="T507" s="3">
        <v>3542.705564462558</v>
      </c>
      <c r="U507">
        <v>7.5950062234590596E-2</v>
      </c>
      <c r="V507" s="3">
        <v>-126210.5120033092</v>
      </c>
      <c r="W507">
        <v>55.625459047273623</v>
      </c>
      <c r="X507">
        <v>1.633100659360688</v>
      </c>
      <c r="Y507">
        <v>1.182398561861183</v>
      </c>
      <c r="Z507" s="5">
        <v>0.4199605359322548</v>
      </c>
      <c r="AA507">
        <v>4.0725702228446083</v>
      </c>
      <c r="AB507">
        <v>20.672160245072</v>
      </c>
      <c r="AC507">
        <v>14.967070403306121</v>
      </c>
      <c r="AD507" s="5">
        <v>0.41996053593225491</v>
      </c>
      <c r="AE507">
        <v>51.551521808159599</v>
      </c>
      <c r="AF507">
        <v>37.324365095526467</v>
      </c>
      <c r="AG507">
        <v>2.9486248425465931</v>
      </c>
      <c r="AH507" t="str">
        <f t="shared" si="15"/>
        <v>True</v>
      </c>
      <c r="AI507">
        <v>2</v>
      </c>
    </row>
    <row r="508" spans="1:35" x14ac:dyDescent="0.35">
      <c r="A508" t="s">
        <v>603</v>
      </c>
      <c r="B508" t="s">
        <v>592</v>
      </c>
      <c r="C508" t="s">
        <v>33</v>
      </c>
      <c r="D508" t="s">
        <v>39</v>
      </c>
      <c r="E508" t="s">
        <v>52</v>
      </c>
      <c r="F508" t="s">
        <v>39</v>
      </c>
      <c r="G508" t="s">
        <v>37</v>
      </c>
      <c r="H508" t="s">
        <v>35</v>
      </c>
      <c r="I508" t="s">
        <v>35</v>
      </c>
      <c r="J508" t="s">
        <v>35</v>
      </c>
      <c r="K508" t="s">
        <v>37</v>
      </c>
      <c r="L508" t="s">
        <v>37</v>
      </c>
      <c r="M508" t="s">
        <v>37</v>
      </c>
      <c r="N508" t="s">
        <v>35</v>
      </c>
      <c r="O508" t="str">
        <f t="shared" si="16"/>
        <v>True</v>
      </c>
      <c r="P508" s="3">
        <v>191168.1753578202</v>
      </c>
      <c r="Q508" s="3">
        <v>0</v>
      </c>
      <c r="R508" s="3">
        <v>0</v>
      </c>
      <c r="S508" s="3">
        <v>5041.8439082645864</v>
      </c>
      <c r="T508" s="3">
        <v>3393.9619862065128</v>
      </c>
      <c r="U508">
        <v>7.5005501787372406E-2</v>
      </c>
      <c r="V508" s="3">
        <v>-123288.93563368999</v>
      </c>
      <c r="W508">
        <v>56.325962439989503</v>
      </c>
      <c r="X508">
        <v>1.6827446926611851</v>
      </c>
      <c r="Y508">
        <v>1.1327545285606859</v>
      </c>
      <c r="Z508" s="5">
        <v>0.40232812711242488</v>
      </c>
      <c r="AA508">
        <v>4.1963708046413579</v>
      </c>
      <c r="AB508">
        <v>21.300565729888412</v>
      </c>
      <c r="AC508">
        <v>14.338664918489711</v>
      </c>
      <c r="AD508" s="5">
        <v>0.40232812711242499</v>
      </c>
      <c r="AE508">
        <v>53.118617780270348</v>
      </c>
      <c r="AF508">
        <v>35.757269123415718</v>
      </c>
      <c r="AG508">
        <v>2.8248242607498431</v>
      </c>
      <c r="AH508" t="str">
        <f t="shared" si="15"/>
        <v>True</v>
      </c>
      <c r="AI508">
        <v>2</v>
      </c>
    </row>
    <row r="509" spans="1:35" x14ac:dyDescent="0.35">
      <c r="A509" t="s">
        <v>604</v>
      </c>
      <c r="B509" t="s">
        <v>592</v>
      </c>
      <c r="C509" t="s">
        <v>33</v>
      </c>
      <c r="D509" t="s">
        <v>39</v>
      </c>
      <c r="E509" t="s">
        <v>52</v>
      </c>
      <c r="F509" t="s">
        <v>39</v>
      </c>
      <c r="G509" t="s">
        <v>35</v>
      </c>
      <c r="H509" t="s">
        <v>35</v>
      </c>
      <c r="I509" t="s">
        <v>35</v>
      </c>
      <c r="J509" t="s">
        <v>35</v>
      </c>
      <c r="K509" t="s">
        <v>35</v>
      </c>
      <c r="L509" t="s">
        <v>37</v>
      </c>
      <c r="M509" t="s">
        <v>35</v>
      </c>
      <c r="N509" t="s">
        <v>35</v>
      </c>
      <c r="O509" t="str">
        <f t="shared" si="16"/>
        <v>False</v>
      </c>
      <c r="P509" s="3">
        <v>85078.876336633562</v>
      </c>
      <c r="Q509" s="3">
        <v>0</v>
      </c>
      <c r="R509" s="3">
        <v>0</v>
      </c>
      <c r="S509" s="3">
        <v>6956.9214875949738</v>
      </c>
      <c r="T509" s="3">
        <v>1478.8844068761259</v>
      </c>
      <c r="U509">
        <v>7.3436881541628807E-2</v>
      </c>
      <c r="V509" s="3">
        <v>-55501.188199111042</v>
      </c>
      <c r="W509">
        <v>57.529091483456227</v>
      </c>
      <c r="X509">
        <v>2.32191295952684</v>
      </c>
      <c r="Y509">
        <v>0.49358626169503111</v>
      </c>
      <c r="Z509" s="5">
        <v>0.1753103882873121</v>
      </c>
      <c r="AA509">
        <v>5.7903066322365087</v>
      </c>
      <c r="AB509">
        <v>29.391303285149871</v>
      </c>
      <c r="AC509">
        <v>6.2479273632282464</v>
      </c>
      <c r="AD509" s="5">
        <v>0.17531038828731221</v>
      </c>
      <c r="AE509">
        <v>73.295020661221628</v>
      </c>
      <c r="AF509">
        <v>15.58086624246446</v>
      </c>
      <c r="AG509">
        <v>1.230888433154693</v>
      </c>
      <c r="AH509" t="str">
        <f t="shared" si="15"/>
        <v>False</v>
      </c>
      <c r="AI509">
        <v>2</v>
      </c>
    </row>
    <row r="510" spans="1:35" x14ac:dyDescent="0.35">
      <c r="A510" t="s">
        <v>605</v>
      </c>
      <c r="B510" t="s">
        <v>592</v>
      </c>
      <c r="C510" t="s">
        <v>33</v>
      </c>
      <c r="D510" t="s">
        <v>34</v>
      </c>
      <c r="E510" t="s">
        <v>52</v>
      </c>
      <c r="F510" t="s">
        <v>34</v>
      </c>
      <c r="G510" t="s">
        <v>35</v>
      </c>
      <c r="H510" t="s">
        <v>37</v>
      </c>
      <c r="I510" t="s">
        <v>35</v>
      </c>
      <c r="J510" t="s">
        <v>35</v>
      </c>
      <c r="K510" t="s">
        <v>35</v>
      </c>
      <c r="L510" t="s">
        <v>35</v>
      </c>
      <c r="M510" t="s">
        <v>35</v>
      </c>
      <c r="N510" t="s">
        <v>35</v>
      </c>
      <c r="O510" t="str">
        <f t="shared" si="16"/>
        <v>False</v>
      </c>
      <c r="P510" s="3">
        <v>70846.213136971259</v>
      </c>
      <c r="Q510" s="3">
        <v>0</v>
      </c>
      <c r="R510" s="3">
        <v>0</v>
      </c>
      <c r="S510" s="3">
        <v>7213.4872729633189</v>
      </c>
      <c r="T510" s="3">
        <v>1222.318621507781</v>
      </c>
      <c r="U510">
        <v>7.2890264945140601E-2</v>
      </c>
      <c r="V510" s="3">
        <v>-46399.840706815638</v>
      </c>
      <c r="W510">
        <v>57.960512005928123</v>
      </c>
      <c r="X510">
        <v>2.4075432807946862</v>
      </c>
      <c r="Y510">
        <v>0.40795594042718492</v>
      </c>
      <c r="Z510" s="5">
        <v>0.14489648491188001</v>
      </c>
      <c r="AA510">
        <v>6.0038485805353776</v>
      </c>
      <c r="AB510">
        <v>30.475231402464381</v>
      </c>
      <c r="AC510">
        <v>5.163999245913736</v>
      </c>
      <c r="AD510" s="5">
        <v>0.14489648491188009</v>
      </c>
      <c r="AE510">
        <v>75.998083297916168</v>
      </c>
      <c r="AF510">
        <v>12.877803605769911</v>
      </c>
      <c r="AG510">
        <v>1.017346484855824</v>
      </c>
      <c r="AH510" t="str">
        <f t="shared" si="15"/>
        <v>False</v>
      </c>
      <c r="AI510">
        <v>2</v>
      </c>
    </row>
    <row r="511" spans="1:35" x14ac:dyDescent="0.35">
      <c r="A511" t="s">
        <v>606</v>
      </c>
      <c r="B511" t="s">
        <v>592</v>
      </c>
      <c r="C511" t="s">
        <v>33</v>
      </c>
      <c r="D511" t="s">
        <v>39</v>
      </c>
      <c r="E511" t="s">
        <v>52</v>
      </c>
      <c r="F511" t="s">
        <v>39</v>
      </c>
      <c r="G511" t="s">
        <v>37</v>
      </c>
      <c r="H511" t="s">
        <v>35</v>
      </c>
      <c r="I511" t="s">
        <v>35</v>
      </c>
      <c r="J511" t="s">
        <v>37</v>
      </c>
      <c r="K511" t="s">
        <v>35</v>
      </c>
      <c r="L511" t="s">
        <v>37</v>
      </c>
      <c r="M511" t="s">
        <v>35</v>
      </c>
      <c r="N511" t="s">
        <v>35</v>
      </c>
      <c r="O511" t="str">
        <f t="shared" si="16"/>
        <v>True</v>
      </c>
      <c r="P511" s="3">
        <v>215807.00772033061</v>
      </c>
      <c r="Q511" s="3">
        <v>0</v>
      </c>
      <c r="R511" s="3">
        <v>0</v>
      </c>
      <c r="S511" s="3">
        <v>4966.4471985822238</v>
      </c>
      <c r="T511" s="3">
        <v>3469.3586958888759</v>
      </c>
      <c r="U511">
        <v>6.7918080400138206E-2</v>
      </c>
      <c r="V511" s="3">
        <v>-146419.8338025531</v>
      </c>
      <c r="W511">
        <v>62.203717354466058</v>
      </c>
      <c r="X511">
        <v>1.6575806028221201</v>
      </c>
      <c r="Y511">
        <v>1.157918618399751</v>
      </c>
      <c r="Z511" s="5">
        <v>0.41126582798244837</v>
      </c>
      <c r="AA511">
        <v>4.1336174633968072</v>
      </c>
      <c r="AB511">
        <v>20.982032947115439</v>
      </c>
      <c r="AC511">
        <v>14.65719770126268</v>
      </c>
      <c r="AD511" s="5">
        <v>0.41126582798244837</v>
      </c>
      <c r="AE511">
        <v>52.32427168856718</v>
      </c>
      <c r="AF511">
        <v>36.551615215118893</v>
      </c>
      <c r="AG511">
        <v>2.8875776019943942</v>
      </c>
      <c r="AH511" t="str">
        <f t="shared" si="15"/>
        <v>True</v>
      </c>
      <c r="AI511">
        <v>2</v>
      </c>
    </row>
    <row r="512" spans="1:35" x14ac:dyDescent="0.35">
      <c r="A512" t="s">
        <v>607</v>
      </c>
      <c r="B512" t="s">
        <v>592</v>
      </c>
      <c r="C512" t="s">
        <v>33</v>
      </c>
      <c r="D512" t="s">
        <v>39</v>
      </c>
      <c r="E512" t="s">
        <v>52</v>
      </c>
      <c r="F512" t="s">
        <v>39</v>
      </c>
      <c r="G512" t="s">
        <v>37</v>
      </c>
      <c r="H512" t="s">
        <v>35</v>
      </c>
      <c r="I512" t="s">
        <v>37</v>
      </c>
      <c r="J512" t="s">
        <v>35</v>
      </c>
      <c r="K512" t="s">
        <v>37</v>
      </c>
      <c r="L512" t="s">
        <v>37</v>
      </c>
      <c r="M512" t="s">
        <v>35</v>
      </c>
      <c r="N512" t="s">
        <v>35</v>
      </c>
      <c r="O512" t="str">
        <f t="shared" si="16"/>
        <v>True</v>
      </c>
      <c r="P512" s="3">
        <v>229094.3179134106</v>
      </c>
      <c r="Q512" s="3">
        <v>0</v>
      </c>
      <c r="R512" s="3">
        <v>0</v>
      </c>
      <c r="S512" s="3">
        <v>4829.1179350119883</v>
      </c>
      <c r="T512" s="3">
        <v>3606.6879594591119</v>
      </c>
      <c r="U512">
        <v>6.6511385433384501E-2</v>
      </c>
      <c r="V512" s="3">
        <v>-156960.55872422841</v>
      </c>
      <c r="W512">
        <v>63.519306490758197</v>
      </c>
      <c r="X512">
        <v>1.611746163354234</v>
      </c>
      <c r="Y512">
        <v>1.203753057867637</v>
      </c>
      <c r="Z512" s="5">
        <v>0.42754515746064831</v>
      </c>
      <c r="AA512">
        <v>4.0193171155965928</v>
      </c>
      <c r="AB512">
        <v>20.40185016904093</v>
      </c>
      <c r="AC512">
        <v>15.23738047933719</v>
      </c>
      <c r="AD512" s="5">
        <v>0.42754515746064842</v>
      </c>
      <c r="AE512">
        <v>50.877431842994831</v>
      </c>
      <c r="AF512">
        <v>37.998455060691242</v>
      </c>
      <c r="AG512">
        <v>3.0018779497946091</v>
      </c>
      <c r="AH512" t="str">
        <f t="shared" si="15"/>
        <v>True</v>
      </c>
      <c r="AI512">
        <v>2</v>
      </c>
    </row>
    <row r="513" spans="1:35" x14ac:dyDescent="0.35">
      <c r="A513" t="s">
        <v>608</v>
      </c>
      <c r="B513" t="s">
        <v>609</v>
      </c>
      <c r="C513" t="s">
        <v>33</v>
      </c>
      <c r="D513" t="s">
        <v>39</v>
      </c>
      <c r="E513" t="s">
        <v>52</v>
      </c>
      <c r="F513" t="s">
        <v>39</v>
      </c>
      <c r="G513" t="s">
        <v>35</v>
      </c>
      <c r="H513" t="s">
        <v>35</v>
      </c>
      <c r="I513" t="s">
        <v>35</v>
      </c>
      <c r="J513" t="s">
        <v>35</v>
      </c>
      <c r="K513" t="s">
        <v>35</v>
      </c>
      <c r="L513" t="s">
        <v>35</v>
      </c>
      <c r="M513" t="s">
        <v>35</v>
      </c>
      <c r="N513" t="s">
        <v>35</v>
      </c>
      <c r="O513" t="str">
        <f t="shared" si="16"/>
        <v>False</v>
      </c>
      <c r="P513" s="3">
        <v>0</v>
      </c>
      <c r="Q513" s="3">
        <v>0</v>
      </c>
      <c r="R513" s="3">
        <v>0</v>
      </c>
      <c r="S513" s="3">
        <v>8209.4086339885143</v>
      </c>
      <c r="T513" s="3">
        <v>0</v>
      </c>
      <c r="U513">
        <v>0</v>
      </c>
      <c r="V513" s="3">
        <v>0</v>
      </c>
      <c r="W513">
        <v>0</v>
      </c>
      <c r="X513">
        <v>2.7399378203848439</v>
      </c>
      <c r="Y513">
        <v>-4.4408920985006262E-16</v>
      </c>
      <c r="Z513" s="5">
        <v>-1.620800320890812E-16</v>
      </c>
      <c r="AA513">
        <v>5.0366504051191976</v>
      </c>
      <c r="AB513">
        <v>34.682757220061319</v>
      </c>
      <c r="AC513">
        <v>0</v>
      </c>
      <c r="AD513" s="5">
        <v>0</v>
      </c>
      <c r="AE513">
        <v>63.755068419230369</v>
      </c>
      <c r="AF513">
        <v>0</v>
      </c>
      <c r="AG513">
        <v>-8.8817841970012523E-16</v>
      </c>
      <c r="AH513" t="str">
        <f t="shared" si="15"/>
        <v>False</v>
      </c>
      <c r="AI513">
        <v>0</v>
      </c>
    </row>
    <row r="514" spans="1:35" x14ac:dyDescent="0.35">
      <c r="A514" t="s">
        <v>610</v>
      </c>
      <c r="B514" t="s">
        <v>609</v>
      </c>
      <c r="C514" t="s">
        <v>33</v>
      </c>
      <c r="D514" t="s">
        <v>39</v>
      </c>
      <c r="E514" t="s">
        <v>52</v>
      </c>
      <c r="F514" t="s">
        <v>39</v>
      </c>
      <c r="G514" t="s">
        <v>37</v>
      </c>
      <c r="H514" t="s">
        <v>35</v>
      </c>
      <c r="I514" t="s">
        <v>35</v>
      </c>
      <c r="J514" t="s">
        <v>35</v>
      </c>
      <c r="K514" t="s">
        <v>35</v>
      </c>
      <c r="L514" t="s">
        <v>35</v>
      </c>
      <c r="M514" t="s">
        <v>35</v>
      </c>
      <c r="N514" t="s">
        <v>35</v>
      </c>
      <c r="O514" t="str">
        <f t="shared" si="16"/>
        <v>False</v>
      </c>
      <c r="P514" s="3">
        <v>19553.88638248347</v>
      </c>
      <c r="Q514" s="3">
        <v>0</v>
      </c>
      <c r="R514" s="3">
        <v>0</v>
      </c>
      <c r="S514" s="3">
        <v>7728.2353513037833</v>
      </c>
      <c r="T514" s="3">
        <v>481.17328268473051</v>
      </c>
      <c r="U514">
        <v>0.1039609308996874</v>
      </c>
      <c r="V514" s="3">
        <v>-9930.4207287888603</v>
      </c>
      <c r="W514">
        <v>40.63793042161771</v>
      </c>
      <c r="X514">
        <v>2.579343442133498</v>
      </c>
      <c r="Y514">
        <v>0.1605943782513464</v>
      </c>
      <c r="Z514" s="5">
        <v>5.8612417061635898E-2</v>
      </c>
      <c r="AA514">
        <v>4.7414401509806936</v>
      </c>
      <c r="AB514">
        <v>32.649916989031617</v>
      </c>
      <c r="AC514">
        <v>2.0328402310297018</v>
      </c>
      <c r="AD514" s="5">
        <v>5.8612417061636002E-2</v>
      </c>
      <c r="AE514">
        <v>60.018229759249287</v>
      </c>
      <c r="AF514">
        <v>3.7368386599810699</v>
      </c>
      <c r="AG514">
        <v>0.29521025413850399</v>
      </c>
      <c r="AH514" t="str">
        <f t="shared" si="15"/>
        <v>True</v>
      </c>
      <c r="AI514">
        <v>1</v>
      </c>
    </row>
    <row r="515" spans="1:35" x14ac:dyDescent="0.35">
      <c r="A515" t="s">
        <v>611</v>
      </c>
      <c r="B515" t="s">
        <v>609</v>
      </c>
      <c r="C515" t="s">
        <v>33</v>
      </c>
      <c r="D515" t="s">
        <v>39</v>
      </c>
      <c r="E515" t="s">
        <v>52</v>
      </c>
      <c r="F515" t="s">
        <v>39</v>
      </c>
      <c r="G515" t="s">
        <v>37</v>
      </c>
      <c r="H515" t="s">
        <v>35</v>
      </c>
      <c r="I515" t="s">
        <v>35</v>
      </c>
      <c r="J515" t="s">
        <v>35</v>
      </c>
      <c r="K515" t="s">
        <v>37</v>
      </c>
      <c r="L515" t="s">
        <v>35</v>
      </c>
      <c r="M515" t="s">
        <v>35</v>
      </c>
      <c r="N515" t="s">
        <v>35</v>
      </c>
      <c r="O515" t="str">
        <f t="shared" si="16"/>
        <v>True</v>
      </c>
      <c r="P515" s="3">
        <v>58851.106436021008</v>
      </c>
      <c r="Q515" s="3">
        <v>0</v>
      </c>
      <c r="R515" s="3">
        <v>0</v>
      </c>
      <c r="S515" s="3">
        <v>7146.6878305250657</v>
      </c>
      <c r="T515" s="3">
        <v>1062.720803463448</v>
      </c>
      <c r="U515">
        <v>7.6289767629483904E-2</v>
      </c>
      <c r="V515" s="3">
        <v>-37596.690366752053</v>
      </c>
      <c r="W515">
        <v>55.37776831339238</v>
      </c>
      <c r="X515">
        <v>2.3852485788402209</v>
      </c>
      <c r="Y515">
        <v>0.354689241544623</v>
      </c>
      <c r="Z515" s="5">
        <v>0.12945156598291141</v>
      </c>
      <c r="AA515">
        <v>4.3846481228680529</v>
      </c>
      <c r="AB515">
        <v>30.19301998531925</v>
      </c>
      <c r="AC515">
        <v>4.4897372347420692</v>
      </c>
      <c r="AD515" s="5">
        <v>0.12945156598291149</v>
      </c>
      <c r="AE515">
        <v>55.501874973013329</v>
      </c>
      <c r="AF515">
        <v>8.2531934462170398</v>
      </c>
      <c r="AG515">
        <v>0.65200228225114465</v>
      </c>
      <c r="AH515" t="str">
        <f t="shared" ref="AH515:AH578" si="17">IF(OR(G515="True",I515="True",J515="True"),"True","False")</f>
        <v>True</v>
      </c>
      <c r="AI515">
        <v>1</v>
      </c>
    </row>
    <row r="516" spans="1:35" x14ac:dyDescent="0.35">
      <c r="A516" t="s">
        <v>612</v>
      </c>
      <c r="B516" t="s">
        <v>609</v>
      </c>
      <c r="C516" t="s">
        <v>33</v>
      </c>
      <c r="D516" t="s">
        <v>39</v>
      </c>
      <c r="E516" t="s">
        <v>52</v>
      </c>
      <c r="F516" t="s">
        <v>39</v>
      </c>
      <c r="G516" t="s">
        <v>35</v>
      </c>
      <c r="H516" t="s">
        <v>35</v>
      </c>
      <c r="I516" t="s">
        <v>35</v>
      </c>
      <c r="J516" t="s">
        <v>35</v>
      </c>
      <c r="K516" t="s">
        <v>37</v>
      </c>
      <c r="L516" t="s">
        <v>35</v>
      </c>
      <c r="M516" t="s">
        <v>35</v>
      </c>
      <c r="N516" t="s">
        <v>35</v>
      </c>
      <c r="O516" t="str">
        <f t="shared" si="16"/>
        <v>False</v>
      </c>
      <c r="P516" s="3">
        <v>39297.220053537538</v>
      </c>
      <c r="Q516" s="3">
        <v>0</v>
      </c>
      <c r="R516" s="3">
        <v>0</v>
      </c>
      <c r="S516" s="3">
        <v>7637.6543544717379</v>
      </c>
      <c r="T516" s="3">
        <v>571.75427951677625</v>
      </c>
      <c r="U516">
        <v>6.1468036036609497E-2</v>
      </c>
      <c r="V516" s="3">
        <v>-27862.134463202008</v>
      </c>
      <c r="W516">
        <v>68.730959192382386</v>
      </c>
      <c r="X516">
        <v>2.5491115082520799</v>
      </c>
      <c r="Y516">
        <v>0.19082631213276399</v>
      </c>
      <c r="Z516" s="5">
        <v>6.9646219966393599E-2</v>
      </c>
      <c r="AA516">
        <v>4.6858667431104406</v>
      </c>
      <c r="AB516">
        <v>32.267234281671897</v>
      </c>
      <c r="AC516">
        <v>2.4155229383894219</v>
      </c>
      <c r="AD516" s="5">
        <v>6.9646219966393696E-2</v>
      </c>
      <c r="AE516">
        <v>59.314768900132158</v>
      </c>
      <c r="AF516">
        <v>4.4402995190982031</v>
      </c>
      <c r="AG516">
        <v>0.3507836620087561</v>
      </c>
      <c r="AH516" t="str">
        <f t="shared" si="17"/>
        <v>False</v>
      </c>
      <c r="AI516">
        <v>1</v>
      </c>
    </row>
    <row r="517" spans="1:35" x14ac:dyDescent="0.35">
      <c r="A517" t="s">
        <v>613</v>
      </c>
      <c r="B517" t="s">
        <v>609</v>
      </c>
      <c r="C517" t="s">
        <v>33</v>
      </c>
      <c r="D517" t="s">
        <v>39</v>
      </c>
      <c r="E517" t="s">
        <v>52</v>
      </c>
      <c r="F517" t="s">
        <v>39</v>
      </c>
      <c r="G517" t="s">
        <v>37</v>
      </c>
      <c r="H517" t="s">
        <v>35</v>
      </c>
      <c r="I517" t="s">
        <v>35</v>
      </c>
      <c r="J517" t="s">
        <v>35</v>
      </c>
      <c r="K517" t="s">
        <v>37</v>
      </c>
      <c r="L517" t="s">
        <v>35</v>
      </c>
      <c r="M517" t="s">
        <v>37</v>
      </c>
      <c r="N517" t="s">
        <v>35</v>
      </c>
      <c r="O517" t="str">
        <f t="shared" ref="O517:O580" si="18">IF(COUNTIF(G517:N517,"True")&gt;1, "True", "False")</f>
        <v>True</v>
      </c>
      <c r="P517" s="3">
        <v>158528.77542200201</v>
      </c>
      <c r="Q517" s="3">
        <v>0</v>
      </c>
      <c r="R517" s="3">
        <v>0</v>
      </c>
      <c r="S517" s="3">
        <v>6175.1679138650798</v>
      </c>
      <c r="T517" s="3">
        <v>2034.2407201234339</v>
      </c>
      <c r="U517">
        <v>5.4212068785010399E-2</v>
      </c>
      <c r="V517" s="3">
        <v>-117843.96101953329</v>
      </c>
      <c r="W517">
        <v>77.930194717753352</v>
      </c>
      <c r="X517">
        <v>2.0609981630559409</v>
      </c>
      <c r="Y517">
        <v>0.6789396573289026</v>
      </c>
      <c r="Z517" s="5">
        <v>0.2477938193624922</v>
      </c>
      <c r="AA517">
        <v>3.788599564441069</v>
      </c>
      <c r="AB517">
        <v>26.088584342480271</v>
      </c>
      <c r="AC517">
        <v>8.5941728775810482</v>
      </c>
      <c r="AD517" s="5">
        <v>0.24779381936249231</v>
      </c>
      <c r="AE517">
        <v>47.95695651191226</v>
      </c>
      <c r="AF517">
        <v>15.7981119073181</v>
      </c>
      <c r="AG517">
        <v>1.248050840678129</v>
      </c>
      <c r="AH517" t="str">
        <f t="shared" si="17"/>
        <v>True</v>
      </c>
      <c r="AI517">
        <v>1</v>
      </c>
    </row>
    <row r="518" spans="1:35" x14ac:dyDescent="0.35">
      <c r="A518" t="s">
        <v>614</v>
      </c>
      <c r="B518" t="s">
        <v>609</v>
      </c>
      <c r="C518" t="s">
        <v>33</v>
      </c>
      <c r="D518" t="s">
        <v>39</v>
      </c>
      <c r="E518" t="s">
        <v>52</v>
      </c>
      <c r="F518" t="s">
        <v>39</v>
      </c>
      <c r="G518" t="s">
        <v>35</v>
      </c>
      <c r="H518" t="s">
        <v>37</v>
      </c>
      <c r="I518" t="s">
        <v>35</v>
      </c>
      <c r="J518" t="s">
        <v>35</v>
      </c>
      <c r="K518" t="s">
        <v>37</v>
      </c>
      <c r="L518" t="s">
        <v>35</v>
      </c>
      <c r="M518" t="s">
        <v>35</v>
      </c>
      <c r="N518" t="s">
        <v>35</v>
      </c>
      <c r="O518" t="str">
        <f t="shared" si="18"/>
        <v>True</v>
      </c>
      <c r="P518" s="3">
        <v>86226.547371497873</v>
      </c>
      <c r="Q518" s="3">
        <v>0</v>
      </c>
      <c r="R518" s="3">
        <v>0</v>
      </c>
      <c r="S518" s="3">
        <v>7120.0334002401232</v>
      </c>
      <c r="T518" s="3">
        <v>1089.3752337483911</v>
      </c>
      <c r="U518">
        <v>5.3375043626400699E-2</v>
      </c>
      <c r="V518" s="3">
        <v>-64439.042696530058</v>
      </c>
      <c r="W518">
        <v>79.152292708917344</v>
      </c>
      <c r="X518">
        <v>2.3763525078959429</v>
      </c>
      <c r="Y518">
        <v>0.36358531248890058</v>
      </c>
      <c r="Z518" s="5">
        <v>0.13269838088436339</v>
      </c>
      <c r="AA518">
        <v>4.3682950512793077</v>
      </c>
      <c r="AB518">
        <v>30.080411492353711</v>
      </c>
      <c r="AC518">
        <v>4.6023457277076076</v>
      </c>
      <c r="AD518" s="5">
        <v>0.13269838088436359</v>
      </c>
      <c r="AE518">
        <v>55.294874066826679</v>
      </c>
      <c r="AF518">
        <v>8.4601943524036898</v>
      </c>
      <c r="AG518">
        <v>0.66835535383988987</v>
      </c>
      <c r="AH518" t="str">
        <f t="shared" si="17"/>
        <v>False</v>
      </c>
      <c r="AI518">
        <v>1</v>
      </c>
    </row>
    <row r="519" spans="1:35" x14ac:dyDescent="0.35">
      <c r="A519" t="s">
        <v>615</v>
      </c>
      <c r="B519" t="s">
        <v>609</v>
      </c>
      <c r="C519" t="s">
        <v>33</v>
      </c>
      <c r="D519" t="s">
        <v>39</v>
      </c>
      <c r="E519" t="s">
        <v>52</v>
      </c>
      <c r="F519" t="s">
        <v>39</v>
      </c>
      <c r="G519" t="s">
        <v>37</v>
      </c>
      <c r="H519" t="s">
        <v>35</v>
      </c>
      <c r="I519" t="s">
        <v>35</v>
      </c>
      <c r="J519" t="s">
        <v>35</v>
      </c>
      <c r="K519" t="s">
        <v>35</v>
      </c>
      <c r="L519" t="s">
        <v>35</v>
      </c>
      <c r="M519" t="s">
        <v>37</v>
      </c>
      <c r="N519" t="s">
        <v>35</v>
      </c>
      <c r="O519" t="str">
        <f t="shared" si="18"/>
        <v>True</v>
      </c>
      <c r="P519" s="3">
        <v>119231.5553684645</v>
      </c>
      <c r="Q519" s="3">
        <v>0</v>
      </c>
      <c r="R519" s="3">
        <v>0</v>
      </c>
      <c r="S519" s="3">
        <v>6732.5898379899136</v>
      </c>
      <c r="T519" s="3">
        <v>1476.8187959986001</v>
      </c>
      <c r="U519">
        <v>5.2328434698138498E-2</v>
      </c>
      <c r="V519" s="3">
        <v>-89695.179448492505</v>
      </c>
      <c r="W519">
        <v>80.73539942172944</v>
      </c>
      <c r="X519">
        <v>2.2470409683194048</v>
      </c>
      <c r="Y519">
        <v>0.49289685206543871</v>
      </c>
      <c r="Z519" s="5">
        <v>0.17989344444181871</v>
      </c>
      <c r="AA519">
        <v>4.1305900152930244</v>
      </c>
      <c r="AB519">
        <v>28.443556561005131</v>
      </c>
      <c r="AC519">
        <v>6.2392006590561877</v>
      </c>
      <c r="AD519" s="5">
        <v>0.17989344444181871</v>
      </c>
      <c r="AE519">
        <v>52.285949560671199</v>
      </c>
      <c r="AF519">
        <v>11.46911885855917</v>
      </c>
      <c r="AG519">
        <v>0.90606038982617321</v>
      </c>
      <c r="AH519" t="str">
        <f t="shared" si="17"/>
        <v>True</v>
      </c>
      <c r="AI519">
        <v>1</v>
      </c>
    </row>
    <row r="520" spans="1:35" x14ac:dyDescent="0.35">
      <c r="A520" t="s">
        <v>616</v>
      </c>
      <c r="B520" t="s">
        <v>609</v>
      </c>
      <c r="C520" t="s">
        <v>33</v>
      </c>
      <c r="D520" t="s">
        <v>39</v>
      </c>
      <c r="E520" t="s">
        <v>52</v>
      </c>
      <c r="F520" t="s">
        <v>39</v>
      </c>
      <c r="G520" t="s">
        <v>35</v>
      </c>
      <c r="H520" t="s">
        <v>35</v>
      </c>
      <c r="I520" t="s">
        <v>35</v>
      </c>
      <c r="J520" t="s">
        <v>35</v>
      </c>
      <c r="K520" t="s">
        <v>37</v>
      </c>
      <c r="L520" t="s">
        <v>35</v>
      </c>
      <c r="M520" t="s">
        <v>37</v>
      </c>
      <c r="N520" t="s">
        <v>35</v>
      </c>
      <c r="O520" t="str">
        <f t="shared" si="18"/>
        <v>True</v>
      </c>
      <c r="P520" s="3">
        <v>138974.88903951849</v>
      </c>
      <c r="Q520" s="3">
        <v>0</v>
      </c>
      <c r="R520" s="3">
        <v>0</v>
      </c>
      <c r="S520" s="3">
        <v>6637.9209575356836</v>
      </c>
      <c r="T520" s="3">
        <v>1571.487676452829</v>
      </c>
      <c r="U520">
        <v>4.7772325832104903E-2</v>
      </c>
      <c r="V520" s="3">
        <v>-107545.1355104619</v>
      </c>
      <c r="W520">
        <v>88.435239500708903</v>
      </c>
      <c r="X520">
        <v>2.2154446795323999</v>
      </c>
      <c r="Y520">
        <v>0.52449314085244358</v>
      </c>
      <c r="Z520" s="5">
        <v>0.19142519839328859</v>
      </c>
      <c r="AA520">
        <v>4.0725086020816184</v>
      </c>
      <c r="AB520">
        <v>28.043603538384811</v>
      </c>
      <c r="AC520">
        <v>6.6391536816765084</v>
      </c>
      <c r="AD520" s="5">
        <v>0.19142519839328881</v>
      </c>
      <c r="AE520">
        <v>51.550741798501491</v>
      </c>
      <c r="AF520">
        <v>12.204326620728869</v>
      </c>
      <c r="AG520">
        <v>0.96414180303757924</v>
      </c>
      <c r="AH520" t="str">
        <f t="shared" si="17"/>
        <v>False</v>
      </c>
      <c r="AI520">
        <v>1</v>
      </c>
    </row>
    <row r="521" spans="1:35" x14ac:dyDescent="0.35">
      <c r="A521" t="s">
        <v>617</v>
      </c>
      <c r="B521" t="s">
        <v>609</v>
      </c>
      <c r="C521" t="s">
        <v>33</v>
      </c>
      <c r="D521" t="s">
        <v>39</v>
      </c>
      <c r="E521" t="s">
        <v>52</v>
      </c>
      <c r="F521" t="s">
        <v>39</v>
      </c>
      <c r="G521" t="s">
        <v>35</v>
      </c>
      <c r="H521" t="s">
        <v>37</v>
      </c>
      <c r="I521" t="s">
        <v>35</v>
      </c>
      <c r="J521" t="s">
        <v>35</v>
      </c>
      <c r="K521" t="s">
        <v>37</v>
      </c>
      <c r="L521" t="s">
        <v>35</v>
      </c>
      <c r="M521" t="s">
        <v>37</v>
      </c>
      <c r="N521" t="s">
        <v>35</v>
      </c>
      <c r="O521" t="str">
        <f t="shared" si="18"/>
        <v>True</v>
      </c>
      <c r="P521" s="3">
        <v>185904.2163574789</v>
      </c>
      <c r="Q521" s="3">
        <v>0</v>
      </c>
      <c r="R521" s="3">
        <v>0</v>
      </c>
      <c r="S521" s="3">
        <v>6128.1467094234522</v>
      </c>
      <c r="T521" s="3">
        <v>2081.2619245650621</v>
      </c>
      <c r="U521">
        <v>4.7297614955015103E-2</v>
      </c>
      <c r="V521" s="3">
        <v>-144278.97786617771</v>
      </c>
      <c r="W521">
        <v>89.322835421749616</v>
      </c>
      <c r="X521">
        <v>2.0453045629254452</v>
      </c>
      <c r="Y521">
        <v>0.69463325745939919</v>
      </c>
      <c r="Z521" s="5">
        <v>0.25352154063183557</v>
      </c>
      <c r="AA521">
        <v>3.7597510347894212</v>
      </c>
      <c r="AB521">
        <v>25.88993117627145</v>
      </c>
      <c r="AC521">
        <v>8.7928260437898693</v>
      </c>
      <c r="AD521" s="5">
        <v>0.25352154063183568</v>
      </c>
      <c r="AE521">
        <v>47.591785250498987</v>
      </c>
      <c r="AF521">
        <v>16.163283168731379</v>
      </c>
      <c r="AG521">
        <v>1.2768993703297771</v>
      </c>
      <c r="AH521" t="str">
        <f t="shared" si="17"/>
        <v>False</v>
      </c>
      <c r="AI521">
        <v>1</v>
      </c>
    </row>
    <row r="522" spans="1:35" x14ac:dyDescent="0.35">
      <c r="A522" t="s">
        <v>618</v>
      </c>
      <c r="B522" t="s">
        <v>609</v>
      </c>
      <c r="C522" t="s">
        <v>33</v>
      </c>
      <c r="D522" t="s">
        <v>39</v>
      </c>
      <c r="E522" t="s">
        <v>52</v>
      </c>
      <c r="F522" t="s">
        <v>39</v>
      </c>
      <c r="G522" t="s">
        <v>35</v>
      </c>
      <c r="H522" t="s">
        <v>35</v>
      </c>
      <c r="I522" t="s">
        <v>35</v>
      </c>
      <c r="J522" t="s">
        <v>35</v>
      </c>
      <c r="K522" t="s">
        <v>35</v>
      </c>
      <c r="L522" t="s">
        <v>35</v>
      </c>
      <c r="M522" t="s">
        <v>37</v>
      </c>
      <c r="N522" t="s">
        <v>35</v>
      </c>
      <c r="O522" t="str">
        <f t="shared" si="18"/>
        <v>False</v>
      </c>
      <c r="P522" s="3">
        <v>99677.668985980999</v>
      </c>
      <c r="Q522" s="3">
        <v>0</v>
      </c>
      <c r="R522" s="3">
        <v>0</v>
      </c>
      <c r="S522" s="3">
        <v>7195.3424406736813</v>
      </c>
      <c r="T522" s="3">
        <v>1014.066193314832</v>
      </c>
      <c r="U522">
        <v>4.2980372332106297E-2</v>
      </c>
      <c r="V522" s="3">
        <v>-79396.345119684353</v>
      </c>
      <c r="W522">
        <v>98.295032063093885</v>
      </c>
      <c r="X522">
        <v>2.4014873376139452</v>
      </c>
      <c r="Y522">
        <v>0.33845048277089868</v>
      </c>
      <c r="Z522" s="5">
        <v>0.12352487718986301</v>
      </c>
      <c r="AA522">
        <v>4.4144987823785762</v>
      </c>
      <c r="AB522">
        <v>30.398573893847409</v>
      </c>
      <c r="AC522">
        <v>4.2841833262139097</v>
      </c>
      <c r="AD522" s="5">
        <v>0.12352487718986301</v>
      </c>
      <c r="AE522">
        <v>55.879731422513622</v>
      </c>
      <c r="AF522">
        <v>7.8753369967167464</v>
      </c>
      <c r="AG522">
        <v>0.62215162274062141</v>
      </c>
      <c r="AH522" t="str">
        <f t="shared" si="17"/>
        <v>False</v>
      </c>
      <c r="AI522">
        <v>0</v>
      </c>
    </row>
    <row r="523" spans="1:35" x14ac:dyDescent="0.35">
      <c r="A523" t="s">
        <v>619</v>
      </c>
      <c r="B523" t="s">
        <v>609</v>
      </c>
      <c r="C523" t="s">
        <v>33</v>
      </c>
      <c r="D523" t="s">
        <v>39</v>
      </c>
      <c r="E523" t="s">
        <v>52</v>
      </c>
      <c r="F523" t="s">
        <v>39</v>
      </c>
      <c r="G523" t="s">
        <v>35</v>
      </c>
      <c r="H523" t="s">
        <v>37</v>
      </c>
      <c r="I523" t="s">
        <v>35</v>
      </c>
      <c r="J523" t="s">
        <v>35</v>
      </c>
      <c r="K523" t="s">
        <v>35</v>
      </c>
      <c r="L523" t="s">
        <v>35</v>
      </c>
      <c r="M523" t="s">
        <v>37</v>
      </c>
      <c r="N523" t="s">
        <v>35</v>
      </c>
      <c r="O523" t="str">
        <f t="shared" si="18"/>
        <v>True</v>
      </c>
      <c r="P523" s="3">
        <v>146606.9963039413</v>
      </c>
      <c r="Q523" s="3">
        <v>0</v>
      </c>
      <c r="R523" s="3">
        <v>0</v>
      </c>
      <c r="S523" s="3">
        <v>6726.294949173508</v>
      </c>
      <c r="T523" s="3">
        <v>1483.1136848150049</v>
      </c>
      <c r="U523">
        <v>4.27387177494504E-2</v>
      </c>
      <c r="V523" s="3">
        <v>-116944.7226076412</v>
      </c>
      <c r="W523">
        <v>98.850814880201284</v>
      </c>
      <c r="X523">
        <v>2.2449400126096628</v>
      </c>
      <c r="Y523">
        <v>0.4949978077751811</v>
      </c>
      <c r="Z523" s="5">
        <v>0.1806602339996369</v>
      </c>
      <c r="AA523">
        <v>4.1267279643559984</v>
      </c>
      <c r="AB523">
        <v>28.416962184932441</v>
      </c>
      <c r="AC523">
        <v>6.2657950351288783</v>
      </c>
      <c r="AD523" s="5">
        <v>0.18066023399963699</v>
      </c>
      <c r="AE523">
        <v>52.237062839949338</v>
      </c>
      <c r="AF523">
        <v>11.518005579281031</v>
      </c>
      <c r="AG523">
        <v>0.90992244076319917</v>
      </c>
      <c r="AH523" t="str">
        <f t="shared" si="17"/>
        <v>False</v>
      </c>
      <c r="AI523">
        <v>1</v>
      </c>
    </row>
    <row r="524" spans="1:35" x14ac:dyDescent="0.35">
      <c r="A524" t="s">
        <v>620</v>
      </c>
      <c r="B524" t="s">
        <v>609</v>
      </c>
      <c r="C524" t="s">
        <v>33</v>
      </c>
      <c r="D524" t="s">
        <v>39</v>
      </c>
      <c r="E524" t="s">
        <v>52</v>
      </c>
      <c r="F524" t="s">
        <v>39</v>
      </c>
      <c r="G524" t="s">
        <v>35</v>
      </c>
      <c r="H524" t="s">
        <v>37</v>
      </c>
      <c r="I524" t="s">
        <v>35</v>
      </c>
      <c r="J524" t="s">
        <v>35</v>
      </c>
      <c r="K524" t="s">
        <v>35</v>
      </c>
      <c r="L524" t="s">
        <v>35</v>
      </c>
      <c r="M524" t="s">
        <v>35</v>
      </c>
      <c r="N524" t="s">
        <v>35</v>
      </c>
      <c r="O524" t="str">
        <f t="shared" si="18"/>
        <v>False</v>
      </c>
      <c r="P524" s="3">
        <v>46929.327317960327</v>
      </c>
      <c r="Q524" s="3">
        <v>0</v>
      </c>
      <c r="R524" s="3">
        <v>0</v>
      </c>
      <c r="S524" s="3">
        <v>7747.7732646581362</v>
      </c>
      <c r="T524" s="3">
        <v>461.63536933037739</v>
      </c>
      <c r="U524">
        <v>4.1558177045936E-2</v>
      </c>
      <c r="V524" s="3">
        <v>-37696.619931352783</v>
      </c>
      <c r="W524">
        <v>101.6588641941223</v>
      </c>
      <c r="X524">
        <v>2.5858643342120522</v>
      </c>
      <c r="Y524">
        <v>0.15407348617279171</v>
      </c>
      <c r="Z524" s="5">
        <v>5.6232475433019402E-2</v>
      </c>
      <c r="AA524">
        <v>4.7534270849486253</v>
      </c>
      <c r="AB524">
        <v>32.73245992673484</v>
      </c>
      <c r="AC524">
        <v>1.9502972933264791</v>
      </c>
      <c r="AD524" s="5">
        <v>5.6232475433019499E-2</v>
      </c>
      <c r="AE524">
        <v>60.169963100615519</v>
      </c>
      <c r="AF524">
        <v>3.58510531861485</v>
      </c>
      <c r="AG524">
        <v>0.28322332017057228</v>
      </c>
      <c r="AH524" t="str">
        <f t="shared" si="17"/>
        <v>False</v>
      </c>
      <c r="AI524">
        <v>1</v>
      </c>
    </row>
    <row r="525" spans="1:35" x14ac:dyDescent="0.35">
      <c r="A525" t="s">
        <v>621</v>
      </c>
      <c r="B525" t="s">
        <v>609</v>
      </c>
      <c r="C525" t="s">
        <v>33</v>
      </c>
      <c r="D525" t="s">
        <v>39</v>
      </c>
      <c r="E525" t="s">
        <v>52</v>
      </c>
      <c r="F525" t="s">
        <v>39</v>
      </c>
      <c r="G525" t="s">
        <v>37</v>
      </c>
      <c r="H525" t="s">
        <v>35</v>
      </c>
      <c r="I525" t="s">
        <v>37</v>
      </c>
      <c r="J525" t="s">
        <v>35</v>
      </c>
      <c r="K525" t="s">
        <v>37</v>
      </c>
      <c r="L525" t="s">
        <v>35</v>
      </c>
      <c r="M525" t="s">
        <v>37</v>
      </c>
      <c r="N525" t="s">
        <v>35</v>
      </c>
      <c r="O525" t="str">
        <f t="shared" si="18"/>
        <v>True</v>
      </c>
      <c r="P525" s="3">
        <v>264601.91251054237</v>
      </c>
      <c r="Q525" s="3">
        <v>0</v>
      </c>
      <c r="R525" s="3">
        <v>0</v>
      </c>
      <c r="S525" s="3">
        <v>5831.825137211511</v>
      </c>
      <c r="T525" s="3">
        <v>2377.583496777002</v>
      </c>
      <c r="U525">
        <v>3.7961602800214801E-2</v>
      </c>
      <c r="V525" s="3">
        <v>-217050.24257500231</v>
      </c>
      <c r="W525">
        <v>111.2902713487163</v>
      </c>
      <c r="X525">
        <v>1.946405516855553</v>
      </c>
      <c r="Y525">
        <v>0.79353230352929072</v>
      </c>
      <c r="Z525" s="5">
        <v>0.28961690211562302</v>
      </c>
      <c r="AA525">
        <v>3.5779513177491791</v>
      </c>
      <c r="AB525">
        <v>24.6380445171589</v>
      </c>
      <c r="AC525">
        <v>10.044712702902419</v>
      </c>
      <c r="AD525" s="5">
        <v>0.28961690211562308</v>
      </c>
      <c r="AE525">
        <v>45.290523009483273</v>
      </c>
      <c r="AF525">
        <v>18.4645454097471</v>
      </c>
      <c r="AG525">
        <v>1.458699087370019</v>
      </c>
      <c r="AH525" t="str">
        <f t="shared" si="17"/>
        <v>True</v>
      </c>
      <c r="AI525">
        <v>1</v>
      </c>
    </row>
    <row r="526" spans="1:35" x14ac:dyDescent="0.35">
      <c r="A526" t="s">
        <v>622</v>
      </c>
      <c r="B526" t="s">
        <v>609</v>
      </c>
      <c r="C526" t="s">
        <v>33</v>
      </c>
      <c r="D526" t="s">
        <v>39</v>
      </c>
      <c r="E526" t="s">
        <v>52</v>
      </c>
      <c r="F526" t="s">
        <v>39</v>
      </c>
      <c r="G526" t="s">
        <v>37</v>
      </c>
      <c r="H526" t="s">
        <v>35</v>
      </c>
      <c r="I526" t="s">
        <v>37</v>
      </c>
      <c r="J526" t="s">
        <v>35</v>
      </c>
      <c r="K526" t="s">
        <v>37</v>
      </c>
      <c r="L526" t="s">
        <v>35</v>
      </c>
      <c r="M526" t="s">
        <v>35</v>
      </c>
      <c r="N526" t="s">
        <v>35</v>
      </c>
      <c r="O526" t="str">
        <f t="shared" si="18"/>
        <v>True</v>
      </c>
      <c r="P526" s="3">
        <v>164924.24352456149</v>
      </c>
      <c r="Q526" s="3">
        <v>0</v>
      </c>
      <c r="R526" s="3">
        <v>0</v>
      </c>
      <c r="S526" s="3">
        <v>6785.6533729775811</v>
      </c>
      <c r="T526" s="3">
        <v>1423.7552610109331</v>
      </c>
      <c r="U526">
        <v>3.6471412483506903E-2</v>
      </c>
      <c r="V526" s="3">
        <v>-136449.13830434281</v>
      </c>
      <c r="W526">
        <v>115.8374954185999</v>
      </c>
      <c r="X526">
        <v>2.2647512313697891</v>
      </c>
      <c r="Y526">
        <v>0.47518658901505528</v>
      </c>
      <c r="Z526" s="5">
        <v>0.17342969810472261</v>
      </c>
      <c r="AA526">
        <v>4.1631456459003466</v>
      </c>
      <c r="AB526">
        <v>28.667737105946689</v>
      </c>
      <c r="AC526">
        <v>6.0150201141146296</v>
      </c>
      <c r="AD526" s="5">
        <v>0.17342969810472281</v>
      </c>
      <c r="AE526">
        <v>52.698046150637303</v>
      </c>
      <c r="AF526">
        <v>11.057022268593069</v>
      </c>
      <c r="AG526">
        <v>0.87350475921885096</v>
      </c>
      <c r="AH526" t="str">
        <f t="shared" si="17"/>
        <v>True</v>
      </c>
      <c r="AI526">
        <v>1</v>
      </c>
    </row>
    <row r="527" spans="1:35" x14ac:dyDescent="0.35">
      <c r="A527" t="s">
        <v>623</v>
      </c>
      <c r="B527" t="s">
        <v>609</v>
      </c>
      <c r="C527" t="s">
        <v>33</v>
      </c>
      <c r="D527" t="s">
        <v>39</v>
      </c>
      <c r="E527" t="s">
        <v>52</v>
      </c>
      <c r="F527" t="s">
        <v>39</v>
      </c>
      <c r="G527" t="s">
        <v>35</v>
      </c>
      <c r="H527" t="s">
        <v>37</v>
      </c>
      <c r="I527" t="s">
        <v>37</v>
      </c>
      <c r="J527" t="s">
        <v>35</v>
      </c>
      <c r="K527" t="s">
        <v>37</v>
      </c>
      <c r="L527" t="s">
        <v>35</v>
      </c>
      <c r="M527" t="s">
        <v>37</v>
      </c>
      <c r="N527" t="s">
        <v>35</v>
      </c>
      <c r="O527" t="str">
        <f t="shared" si="18"/>
        <v>True</v>
      </c>
      <c r="P527" s="3">
        <v>291977.35344601929</v>
      </c>
      <c r="Q527" s="3">
        <v>0</v>
      </c>
      <c r="R527" s="3">
        <v>0</v>
      </c>
      <c r="S527" s="3">
        <v>5765.6256824552966</v>
      </c>
      <c r="T527" s="3">
        <v>2443.7829515332178</v>
      </c>
      <c r="U527">
        <v>3.53602400870821E-2</v>
      </c>
      <c r="V527" s="3">
        <v>-243101.6944153549</v>
      </c>
      <c r="W527">
        <v>119.4776128799958</v>
      </c>
      <c r="X527">
        <v>1.9243110642753209</v>
      </c>
      <c r="Y527">
        <v>0.81562675610952318</v>
      </c>
      <c r="Z527" s="5">
        <v>0.29768075393585491</v>
      </c>
      <c r="AA527">
        <v>3.5373365152119871</v>
      </c>
      <c r="AB527">
        <v>24.35836790221925</v>
      </c>
      <c r="AC527">
        <v>10.324389317842069</v>
      </c>
      <c r="AD527" s="5">
        <v>0.29768075393585491</v>
      </c>
      <c r="AE527">
        <v>44.776411584961863</v>
      </c>
      <c r="AF527">
        <v>18.978656834268509</v>
      </c>
      <c r="AG527">
        <v>1.4993138899072109</v>
      </c>
      <c r="AH527" t="str">
        <f t="shared" si="17"/>
        <v>True</v>
      </c>
      <c r="AI527">
        <v>1</v>
      </c>
    </row>
    <row r="528" spans="1:35" x14ac:dyDescent="0.35">
      <c r="A528" t="s">
        <v>624</v>
      </c>
      <c r="B528" t="s">
        <v>609</v>
      </c>
      <c r="C528" t="s">
        <v>33</v>
      </c>
      <c r="D528" t="s">
        <v>39</v>
      </c>
      <c r="E528" t="s">
        <v>52</v>
      </c>
      <c r="F528" t="s">
        <v>39</v>
      </c>
      <c r="G528" t="s">
        <v>37</v>
      </c>
      <c r="H528" t="s">
        <v>35</v>
      </c>
      <c r="I528" t="s">
        <v>37</v>
      </c>
      <c r="J528" t="s">
        <v>35</v>
      </c>
      <c r="K528" t="s">
        <v>35</v>
      </c>
      <c r="L528" t="s">
        <v>35</v>
      </c>
      <c r="M528" t="s">
        <v>37</v>
      </c>
      <c r="N528" t="s">
        <v>35</v>
      </c>
      <c r="O528" t="str">
        <f t="shared" si="18"/>
        <v>True</v>
      </c>
      <c r="P528" s="3">
        <v>225304.69245700489</v>
      </c>
      <c r="Q528" s="3">
        <v>0</v>
      </c>
      <c r="R528" s="3">
        <v>0</v>
      </c>
      <c r="S528" s="3">
        <v>6399.8143125459501</v>
      </c>
      <c r="T528" s="3">
        <v>1809.594321442564</v>
      </c>
      <c r="U528">
        <v>3.3932255612074698E-2</v>
      </c>
      <c r="V528" s="3">
        <v>-189112.8060281536</v>
      </c>
      <c r="W528">
        <v>124.5056363115671</v>
      </c>
      <c r="X528">
        <v>2.1359752035958182</v>
      </c>
      <c r="Y528">
        <v>0.60396261678902619</v>
      </c>
      <c r="Z528" s="5">
        <v>0.22042931496313861</v>
      </c>
      <c r="AA528">
        <v>3.9264250066099589</v>
      </c>
      <c r="AB528">
        <v>27.037660805010351</v>
      </c>
      <c r="AC528">
        <v>7.6450964150509684</v>
      </c>
      <c r="AD528" s="5">
        <v>0.22042931496313869</v>
      </c>
      <c r="AE528">
        <v>49.701582362151377</v>
      </c>
      <c r="AF528">
        <v>14.053486057078979</v>
      </c>
      <c r="AG528">
        <v>1.110225398509239</v>
      </c>
      <c r="AH528" t="str">
        <f t="shared" si="17"/>
        <v>True</v>
      </c>
      <c r="AI528">
        <v>1</v>
      </c>
    </row>
    <row r="529" spans="1:35" x14ac:dyDescent="0.35">
      <c r="A529" t="s">
        <v>625</v>
      </c>
      <c r="B529" t="s">
        <v>626</v>
      </c>
      <c r="C529" t="s">
        <v>465</v>
      </c>
      <c r="D529" t="s">
        <v>34</v>
      </c>
      <c r="E529" t="s">
        <v>52</v>
      </c>
      <c r="F529" t="s">
        <v>34</v>
      </c>
      <c r="G529" t="s">
        <v>35</v>
      </c>
      <c r="H529" t="s">
        <v>35</v>
      </c>
      <c r="I529" t="s">
        <v>35</v>
      </c>
      <c r="J529" t="s">
        <v>35</v>
      </c>
      <c r="K529" t="s">
        <v>35</v>
      </c>
      <c r="L529" t="s">
        <v>35</v>
      </c>
      <c r="M529" t="s">
        <v>35</v>
      </c>
      <c r="N529" t="s">
        <v>35</v>
      </c>
      <c r="O529" t="str">
        <f t="shared" si="18"/>
        <v>False</v>
      </c>
      <c r="P529" s="3">
        <v>0</v>
      </c>
      <c r="Q529" s="3">
        <v>0</v>
      </c>
      <c r="R529" s="3">
        <v>0</v>
      </c>
      <c r="S529" s="3">
        <v>6163.3451298355121</v>
      </c>
      <c r="T529" s="3">
        <v>0</v>
      </c>
      <c r="U529">
        <v>0</v>
      </c>
      <c r="V529" s="3">
        <v>0</v>
      </c>
      <c r="W529">
        <v>0</v>
      </c>
      <c r="X529">
        <v>2.0570522402070361</v>
      </c>
      <c r="Y529">
        <v>0</v>
      </c>
      <c r="Z529" s="5">
        <v>0</v>
      </c>
      <c r="AA529">
        <v>9.5676848381722603</v>
      </c>
      <c r="AB529">
        <v>26.0386359519878</v>
      </c>
      <c r="AC529">
        <v>0</v>
      </c>
      <c r="AD529" s="5">
        <v>0</v>
      </c>
      <c r="AE529">
        <v>121.1099346604084</v>
      </c>
      <c r="AF529">
        <v>0</v>
      </c>
      <c r="AG529">
        <v>0</v>
      </c>
      <c r="AH529" t="str">
        <f t="shared" si="17"/>
        <v>False</v>
      </c>
      <c r="AI529">
        <v>0</v>
      </c>
    </row>
    <row r="530" spans="1:35" x14ac:dyDescent="0.35">
      <c r="A530" t="s">
        <v>627</v>
      </c>
      <c r="B530" t="s">
        <v>626</v>
      </c>
      <c r="C530" t="s">
        <v>465</v>
      </c>
      <c r="D530" t="s">
        <v>34</v>
      </c>
      <c r="E530" t="s">
        <v>52</v>
      </c>
      <c r="F530" t="s">
        <v>34</v>
      </c>
      <c r="G530" t="s">
        <v>37</v>
      </c>
      <c r="H530" t="s">
        <v>35</v>
      </c>
      <c r="I530" t="s">
        <v>35</v>
      </c>
      <c r="J530" t="s">
        <v>35</v>
      </c>
      <c r="K530" t="s">
        <v>35</v>
      </c>
      <c r="L530" t="s">
        <v>35</v>
      </c>
      <c r="M530" t="s">
        <v>35</v>
      </c>
      <c r="N530" t="s">
        <v>35</v>
      </c>
      <c r="O530" t="str">
        <f t="shared" si="18"/>
        <v>False</v>
      </c>
      <c r="P530" s="3">
        <v>28412.788062793421</v>
      </c>
      <c r="Q530" s="3">
        <v>0</v>
      </c>
      <c r="R530" s="3">
        <v>0</v>
      </c>
      <c r="S530" s="3">
        <v>5040.036078416425</v>
      </c>
      <c r="T530" s="3">
        <v>1123.3090514190869</v>
      </c>
      <c r="U530">
        <v>0.16702717992881419</v>
      </c>
      <c r="V530" s="3">
        <v>-5946.6070344116824</v>
      </c>
      <c r="W530">
        <v>25.2938298920491</v>
      </c>
      <c r="X530">
        <v>1.6821413189476031</v>
      </c>
      <c r="Y530">
        <v>0.37491092125943332</v>
      </c>
      <c r="Z530" s="5">
        <v>0.18225639287687689</v>
      </c>
      <c r="AA530">
        <v>7.8239131113841998</v>
      </c>
      <c r="AB530">
        <v>21.29292808794434</v>
      </c>
      <c r="AC530">
        <v>4.7457078640434602</v>
      </c>
      <c r="AD530" s="5">
        <v>0.18225639287687689</v>
      </c>
      <c r="AE530">
        <v>99.036874827648077</v>
      </c>
      <c r="AF530">
        <v>22.073059832760279</v>
      </c>
      <c r="AG530">
        <v>1.743771726788061</v>
      </c>
      <c r="AH530" t="str">
        <f t="shared" si="17"/>
        <v>True</v>
      </c>
      <c r="AI530">
        <v>2</v>
      </c>
    </row>
    <row r="531" spans="1:35" x14ac:dyDescent="0.35">
      <c r="A531" t="s">
        <v>628</v>
      </c>
      <c r="B531" t="s">
        <v>626</v>
      </c>
      <c r="C531" t="s">
        <v>465</v>
      </c>
      <c r="D531" t="s">
        <v>34</v>
      </c>
      <c r="E531" t="s">
        <v>52</v>
      </c>
      <c r="F531" t="s">
        <v>34</v>
      </c>
      <c r="G531" t="s">
        <v>37</v>
      </c>
      <c r="H531" t="s">
        <v>35</v>
      </c>
      <c r="I531" t="s">
        <v>35</v>
      </c>
      <c r="J531" t="s">
        <v>35</v>
      </c>
      <c r="K531" t="s">
        <v>37</v>
      </c>
      <c r="L531" t="s">
        <v>35</v>
      </c>
      <c r="M531" t="s">
        <v>35</v>
      </c>
      <c r="N531" t="s">
        <v>35</v>
      </c>
      <c r="O531" t="str">
        <f t="shared" si="18"/>
        <v>True</v>
      </c>
      <c r="P531" s="3">
        <v>48087.459392585872</v>
      </c>
      <c r="Q531" s="3">
        <v>0</v>
      </c>
      <c r="R531" s="3">
        <v>0</v>
      </c>
      <c r="S531" s="3">
        <v>4705.0289990934307</v>
      </c>
      <c r="T531" s="3">
        <v>1458.316130742081</v>
      </c>
      <c r="U531">
        <v>0.12812137448937669</v>
      </c>
      <c r="V531" s="3">
        <v>-18921.13677774425</v>
      </c>
      <c r="W531">
        <v>32.974646840199192</v>
      </c>
      <c r="X531">
        <v>1.5703307601537011</v>
      </c>
      <c r="Y531">
        <v>0.48672148005333499</v>
      </c>
      <c r="Z531" s="5">
        <v>0.2366111421673705</v>
      </c>
      <c r="AA531">
        <v>7.3038640007148894</v>
      </c>
      <c r="AB531">
        <v>19.87760455890761</v>
      </c>
      <c r="AC531">
        <v>6.1610313930801901</v>
      </c>
      <c r="AD531" s="5">
        <v>0.2366111421673705</v>
      </c>
      <c r="AE531">
        <v>92.453974692593519</v>
      </c>
      <c r="AF531">
        <v>28.655959967814841</v>
      </c>
      <c r="AG531">
        <v>2.2638208374573718</v>
      </c>
      <c r="AH531" t="str">
        <f t="shared" si="17"/>
        <v>True</v>
      </c>
      <c r="AI531">
        <v>2</v>
      </c>
    </row>
    <row r="532" spans="1:35" x14ac:dyDescent="0.35">
      <c r="A532" t="s">
        <v>629</v>
      </c>
      <c r="B532" t="s">
        <v>626</v>
      </c>
      <c r="C532" t="s">
        <v>465</v>
      </c>
      <c r="D532" t="s">
        <v>39</v>
      </c>
      <c r="E532" t="s">
        <v>52</v>
      </c>
      <c r="F532" t="s">
        <v>39</v>
      </c>
      <c r="G532" t="s">
        <v>37</v>
      </c>
      <c r="H532" t="s">
        <v>35</v>
      </c>
      <c r="I532" t="s">
        <v>35</v>
      </c>
      <c r="J532" t="s">
        <v>35</v>
      </c>
      <c r="K532" t="s">
        <v>35</v>
      </c>
      <c r="L532" t="s">
        <v>35</v>
      </c>
      <c r="M532" t="s">
        <v>37</v>
      </c>
      <c r="N532" t="s">
        <v>35</v>
      </c>
      <c r="O532" t="str">
        <f t="shared" si="18"/>
        <v>True</v>
      </c>
      <c r="P532" s="3">
        <v>54973.59435801323</v>
      </c>
      <c r="Q532" s="3">
        <v>0</v>
      </c>
      <c r="R532" s="3">
        <v>0</v>
      </c>
      <c r="S532" s="3">
        <v>4542.9071110321347</v>
      </c>
      <c r="T532" s="3">
        <v>1620.438018803377</v>
      </c>
      <c r="U532">
        <v>0.124531733223291</v>
      </c>
      <c r="V532" s="3">
        <v>-22564.833981945689</v>
      </c>
      <c r="W532">
        <v>33.925144757223627</v>
      </c>
      <c r="X532">
        <v>1.516221638240552</v>
      </c>
      <c r="Y532">
        <v>0.54083060196648414</v>
      </c>
      <c r="Z532" s="5">
        <v>0.26291534623936003</v>
      </c>
      <c r="AA532">
        <v>7.0521936662351257</v>
      </c>
      <c r="AB532">
        <v>19.192678965070279</v>
      </c>
      <c r="AC532">
        <v>6.8459569869175212</v>
      </c>
      <c r="AD532" s="5">
        <v>0.26291534623936008</v>
      </c>
      <c r="AE532">
        <v>89.268274256140828</v>
      </c>
      <c r="AF532">
        <v>31.84166040426754</v>
      </c>
      <c r="AG532">
        <v>2.5154911719371351</v>
      </c>
      <c r="AH532" t="str">
        <f t="shared" si="17"/>
        <v>True</v>
      </c>
      <c r="AI532">
        <v>2</v>
      </c>
    </row>
    <row r="533" spans="1:35" x14ac:dyDescent="0.35">
      <c r="A533" t="s">
        <v>630</v>
      </c>
      <c r="B533" t="s">
        <v>626</v>
      </c>
      <c r="C533" t="s">
        <v>465</v>
      </c>
      <c r="D533" t="s">
        <v>39</v>
      </c>
      <c r="E533" t="s">
        <v>52</v>
      </c>
      <c r="F533" t="s">
        <v>39</v>
      </c>
      <c r="G533" t="s">
        <v>37</v>
      </c>
      <c r="H533" t="s">
        <v>35</v>
      </c>
      <c r="I533" t="s">
        <v>35</v>
      </c>
      <c r="J533" t="s">
        <v>35</v>
      </c>
      <c r="K533" t="s">
        <v>37</v>
      </c>
      <c r="L533" t="s">
        <v>35</v>
      </c>
      <c r="M533" t="s">
        <v>37</v>
      </c>
      <c r="N533" t="s">
        <v>35</v>
      </c>
      <c r="O533" t="str">
        <f t="shared" si="18"/>
        <v>True</v>
      </c>
      <c r="P533" s="3">
        <v>74648.265687805688</v>
      </c>
      <c r="Q533" s="3">
        <v>0</v>
      </c>
      <c r="R533" s="3">
        <v>0</v>
      </c>
      <c r="S533" s="3">
        <v>4231.3505340603333</v>
      </c>
      <c r="T533" s="3">
        <v>1931.9945957751791</v>
      </c>
      <c r="U533">
        <v>0.1093422300570966</v>
      </c>
      <c r="V533" s="3">
        <v>-36008.373772302119</v>
      </c>
      <c r="W533">
        <v>38.63792675768557</v>
      </c>
      <c r="X533">
        <v>1.41223782083129</v>
      </c>
      <c r="Y533">
        <v>0.64481441937574613</v>
      </c>
      <c r="Z533" s="5">
        <v>0.31346526197645203</v>
      </c>
      <c r="AA533">
        <v>6.5685480038664652</v>
      </c>
      <c r="AB533">
        <v>17.876428111788481</v>
      </c>
      <c r="AC533">
        <v>8.1622078401993186</v>
      </c>
      <c r="AD533" s="5">
        <v>0.31346526197645203</v>
      </c>
      <c r="AE533">
        <v>83.146177264132476</v>
      </c>
      <c r="AF533">
        <v>37.963757396275902</v>
      </c>
      <c r="AG533">
        <v>2.9991368343057951</v>
      </c>
      <c r="AH533" t="str">
        <f t="shared" si="17"/>
        <v>True</v>
      </c>
      <c r="AI533">
        <v>2</v>
      </c>
    </row>
    <row r="534" spans="1:35" x14ac:dyDescent="0.35">
      <c r="A534" t="s">
        <v>631</v>
      </c>
      <c r="B534" t="s">
        <v>626</v>
      </c>
      <c r="C534" t="s">
        <v>465</v>
      </c>
      <c r="D534" t="s">
        <v>39</v>
      </c>
      <c r="E534" t="s">
        <v>52</v>
      </c>
      <c r="F534" t="s">
        <v>39</v>
      </c>
      <c r="G534" t="s">
        <v>37</v>
      </c>
      <c r="H534" t="s">
        <v>35</v>
      </c>
      <c r="I534" t="s">
        <v>35</v>
      </c>
      <c r="J534" t="s">
        <v>35</v>
      </c>
      <c r="K534" t="s">
        <v>35</v>
      </c>
      <c r="L534" t="s">
        <v>37</v>
      </c>
      <c r="M534" t="s">
        <v>35</v>
      </c>
      <c r="N534" t="s">
        <v>35</v>
      </c>
      <c r="O534" t="str">
        <f t="shared" si="18"/>
        <v>True</v>
      </c>
      <c r="P534" s="3">
        <v>80673.633782554622</v>
      </c>
      <c r="Q534" s="3">
        <v>0</v>
      </c>
      <c r="R534" s="3">
        <v>0</v>
      </c>
      <c r="S534" s="3">
        <v>4328.8307497559272</v>
      </c>
      <c r="T534" s="3">
        <v>1834.514380079584</v>
      </c>
      <c r="U534">
        <v>9.6070763714621601E-2</v>
      </c>
      <c r="V534" s="3">
        <v>-43983.34618096293</v>
      </c>
      <c r="W534">
        <v>43.975470924929382</v>
      </c>
      <c r="X534">
        <v>1.4447724090862619</v>
      </c>
      <c r="Y534">
        <v>0.61227983112077378</v>
      </c>
      <c r="Z534" s="5">
        <v>0.29764914043172258</v>
      </c>
      <c r="AA534">
        <v>6.7198716701686623</v>
      </c>
      <c r="AB534">
        <v>18.288258342864079</v>
      </c>
      <c r="AC534">
        <v>7.7503776091237206</v>
      </c>
      <c r="AD534" s="5">
        <v>0.29764914043172269</v>
      </c>
      <c r="AE534">
        <v>85.061666710995723</v>
      </c>
      <c r="AF534">
        <v>36.048267949412647</v>
      </c>
      <c r="AG534">
        <v>2.8478131680035981</v>
      </c>
      <c r="AH534" t="str">
        <f t="shared" si="17"/>
        <v>True</v>
      </c>
      <c r="AI534">
        <v>2</v>
      </c>
    </row>
    <row r="535" spans="1:35" x14ac:dyDescent="0.35">
      <c r="A535" t="s">
        <v>632</v>
      </c>
      <c r="B535" t="s">
        <v>626</v>
      </c>
      <c r="C535" t="s">
        <v>465</v>
      </c>
      <c r="D535" t="s">
        <v>39</v>
      </c>
      <c r="E535" t="s">
        <v>52</v>
      </c>
      <c r="F535" t="s">
        <v>39</v>
      </c>
      <c r="G535" t="s">
        <v>37</v>
      </c>
      <c r="H535" t="s">
        <v>35</v>
      </c>
      <c r="I535" t="s">
        <v>35</v>
      </c>
      <c r="J535" t="s">
        <v>35</v>
      </c>
      <c r="K535" t="s">
        <v>37</v>
      </c>
      <c r="L535" t="s">
        <v>37</v>
      </c>
      <c r="M535" t="s">
        <v>35</v>
      </c>
      <c r="N535" t="s">
        <v>35</v>
      </c>
      <c r="O535" t="str">
        <f t="shared" si="18"/>
        <v>True</v>
      </c>
      <c r="P535" s="3">
        <v>100348.30511234709</v>
      </c>
      <c r="Q535" s="3">
        <v>0</v>
      </c>
      <c r="R535" s="3">
        <v>0</v>
      </c>
      <c r="S535" s="3">
        <v>4010.5929197783512</v>
      </c>
      <c r="T535" s="3">
        <v>2152.7522100571609</v>
      </c>
      <c r="U535">
        <v>9.0632872405159201E-2</v>
      </c>
      <c r="V535" s="3">
        <v>-57293.260911203877</v>
      </c>
      <c r="W535">
        <v>46.613959861958563</v>
      </c>
      <c r="X535">
        <v>1.33855868467465</v>
      </c>
      <c r="Y535">
        <v>0.7184935555323857</v>
      </c>
      <c r="Z535" s="5">
        <v>0.34928308649082801</v>
      </c>
      <c r="AA535">
        <v>6.2258543473239563</v>
      </c>
      <c r="AB535">
        <v>16.943780818666461</v>
      </c>
      <c r="AC535">
        <v>9.0948551333213405</v>
      </c>
      <c r="AD535" s="5">
        <v>0.34928308649082801</v>
      </c>
      <c r="AE535">
        <v>78.808282877518437</v>
      </c>
      <c r="AF535">
        <v>42.301651782889948</v>
      </c>
      <c r="AG535">
        <v>3.3418304908483041</v>
      </c>
      <c r="AH535" t="str">
        <f t="shared" si="17"/>
        <v>True</v>
      </c>
      <c r="AI535">
        <v>2</v>
      </c>
    </row>
    <row r="536" spans="1:35" x14ac:dyDescent="0.35">
      <c r="A536" t="s">
        <v>633</v>
      </c>
      <c r="B536" t="s">
        <v>626</v>
      </c>
      <c r="C536" t="s">
        <v>465</v>
      </c>
      <c r="D536" t="s">
        <v>39</v>
      </c>
      <c r="E536" t="s">
        <v>52</v>
      </c>
      <c r="F536" t="s">
        <v>39</v>
      </c>
      <c r="G536" t="s">
        <v>37</v>
      </c>
      <c r="H536" t="s">
        <v>35</v>
      </c>
      <c r="I536" t="s">
        <v>35</v>
      </c>
      <c r="J536" t="s">
        <v>35</v>
      </c>
      <c r="K536" t="s">
        <v>35</v>
      </c>
      <c r="L536" t="s">
        <v>37</v>
      </c>
      <c r="M536" t="s">
        <v>37</v>
      </c>
      <c r="N536" t="s">
        <v>35</v>
      </c>
      <c r="O536" t="str">
        <f t="shared" si="18"/>
        <v>True</v>
      </c>
      <c r="P536" s="3">
        <v>107234.4400777744</v>
      </c>
      <c r="Q536" s="3">
        <v>0</v>
      </c>
      <c r="R536" s="3">
        <v>0</v>
      </c>
      <c r="S536" s="3">
        <v>3869.7181614561259</v>
      </c>
      <c r="T536" s="3">
        <v>2293.6269683793848</v>
      </c>
      <c r="U536">
        <v>9.0362916600403395E-2</v>
      </c>
      <c r="V536" s="3">
        <v>-61361.900710186703</v>
      </c>
      <c r="W536">
        <v>46.753217308716657</v>
      </c>
      <c r="X536">
        <v>1.2915409157373641</v>
      </c>
      <c r="Y536">
        <v>0.76551132446967229</v>
      </c>
      <c r="Z536" s="5">
        <v>0.37213995323357751</v>
      </c>
      <c r="AA536">
        <v>6.0071670499412271</v>
      </c>
      <c r="AB536">
        <v>16.348619186548909</v>
      </c>
      <c r="AC536">
        <v>9.6900167654388927</v>
      </c>
      <c r="AD536" s="5">
        <v>0.37213995323357763</v>
      </c>
      <c r="AE536">
        <v>76.040089239762366</v>
      </c>
      <c r="AF536">
        <v>45.069845420645997</v>
      </c>
      <c r="AG536">
        <v>3.5605177882310328</v>
      </c>
      <c r="AH536" t="str">
        <f t="shared" si="17"/>
        <v>True</v>
      </c>
      <c r="AI536">
        <v>2</v>
      </c>
    </row>
    <row r="537" spans="1:35" x14ac:dyDescent="0.35">
      <c r="A537" t="s">
        <v>634</v>
      </c>
      <c r="B537" t="s">
        <v>626</v>
      </c>
      <c r="C537" t="s">
        <v>465</v>
      </c>
      <c r="D537" t="s">
        <v>39</v>
      </c>
      <c r="E537" t="s">
        <v>52</v>
      </c>
      <c r="F537" t="s">
        <v>39</v>
      </c>
      <c r="G537" t="s">
        <v>37</v>
      </c>
      <c r="H537" t="s">
        <v>35</v>
      </c>
      <c r="I537" t="s">
        <v>35</v>
      </c>
      <c r="J537" t="s">
        <v>35</v>
      </c>
      <c r="K537" t="s">
        <v>37</v>
      </c>
      <c r="L537" t="s">
        <v>37</v>
      </c>
      <c r="M537" t="s">
        <v>37</v>
      </c>
      <c r="N537" t="s">
        <v>35</v>
      </c>
      <c r="O537" t="str">
        <f t="shared" si="18"/>
        <v>True</v>
      </c>
      <c r="P537" s="3">
        <v>126909.1114075669</v>
      </c>
      <c r="Q537" s="3">
        <v>0</v>
      </c>
      <c r="R537" s="3">
        <v>0</v>
      </c>
      <c r="S537" s="3">
        <v>3581.8600893464459</v>
      </c>
      <c r="T537" s="3">
        <v>2581.4850404890658</v>
      </c>
      <c r="U537">
        <v>8.5936676032485795E-2</v>
      </c>
      <c r="V537" s="3">
        <v>-75279.41059778558</v>
      </c>
      <c r="W537">
        <v>49.161280974738403</v>
      </c>
      <c r="X537">
        <v>1.195466611991421</v>
      </c>
      <c r="Y537">
        <v>0.86158562821561557</v>
      </c>
      <c r="Z537" s="5">
        <v>0.41884479712041711</v>
      </c>
      <c r="AA537">
        <v>5.5603098232159098</v>
      </c>
      <c r="AB537">
        <v>15.132488759385071</v>
      </c>
      <c r="AC537">
        <v>10.906147192602729</v>
      </c>
      <c r="AD537" s="5">
        <v>0.41884479712041711</v>
      </c>
      <c r="AE537">
        <v>70.38366864830266</v>
      </c>
      <c r="AF537">
        <v>50.726266012105718</v>
      </c>
      <c r="AG537">
        <v>4.0073750149563514</v>
      </c>
      <c r="AH537" t="str">
        <f t="shared" si="17"/>
        <v>True</v>
      </c>
      <c r="AI537">
        <v>2</v>
      </c>
    </row>
    <row r="538" spans="1:35" x14ac:dyDescent="0.35">
      <c r="A538" t="s">
        <v>635</v>
      </c>
      <c r="B538" t="s">
        <v>626</v>
      </c>
      <c r="C538" t="s">
        <v>465</v>
      </c>
      <c r="D538" t="s">
        <v>34</v>
      </c>
      <c r="E538" t="s">
        <v>52</v>
      </c>
      <c r="F538" t="s">
        <v>34</v>
      </c>
      <c r="G538" t="s">
        <v>35</v>
      </c>
      <c r="H538" t="s">
        <v>35</v>
      </c>
      <c r="I538" t="s">
        <v>35</v>
      </c>
      <c r="J538" t="s">
        <v>35</v>
      </c>
      <c r="K538" t="s">
        <v>35</v>
      </c>
      <c r="L538" t="s">
        <v>35</v>
      </c>
      <c r="M538" t="s">
        <v>37</v>
      </c>
      <c r="N538" t="s">
        <v>35</v>
      </c>
      <c r="O538" t="str">
        <f t="shared" si="18"/>
        <v>False</v>
      </c>
      <c r="P538" s="3">
        <v>26560.806295219809</v>
      </c>
      <c r="Q538" s="3">
        <v>0</v>
      </c>
      <c r="R538" s="3">
        <v>0</v>
      </c>
      <c r="S538" s="3">
        <v>5627.4808900046319</v>
      </c>
      <c r="T538" s="3">
        <v>535.86423983087991</v>
      </c>
      <c r="U538">
        <v>8.52344696952647E-2</v>
      </c>
      <c r="V538" s="3">
        <v>-15843.521498602209</v>
      </c>
      <c r="W538">
        <v>49.566297433100708</v>
      </c>
      <c r="X538">
        <v>1.8782044373061511</v>
      </c>
      <c r="Y538">
        <v>0.17884780290088509</v>
      </c>
      <c r="Z538" s="5">
        <v>8.6943734050664898E-2</v>
      </c>
      <c r="AA538">
        <v>8.7358345921216323</v>
      </c>
      <c r="AB538">
        <v>23.774739712736089</v>
      </c>
      <c r="AC538">
        <v>2.2638962392517108</v>
      </c>
      <c r="AD538" s="5">
        <v>8.6943734050664898E-2</v>
      </c>
      <c r="AE538">
        <v>110.5801847104004</v>
      </c>
      <c r="AF538">
        <v>10.529749950007959</v>
      </c>
      <c r="AG538">
        <v>0.83185024605062807</v>
      </c>
      <c r="AH538" t="str">
        <f t="shared" si="17"/>
        <v>False</v>
      </c>
      <c r="AI538">
        <v>0</v>
      </c>
    </row>
    <row r="539" spans="1:35" x14ac:dyDescent="0.35">
      <c r="A539" t="s">
        <v>636</v>
      </c>
      <c r="B539" t="s">
        <v>626</v>
      </c>
      <c r="C539" t="s">
        <v>465</v>
      </c>
      <c r="D539" t="s">
        <v>34</v>
      </c>
      <c r="E539" t="s">
        <v>52</v>
      </c>
      <c r="F539" t="s">
        <v>34</v>
      </c>
      <c r="G539" t="s">
        <v>35</v>
      </c>
      <c r="H539" t="s">
        <v>35</v>
      </c>
      <c r="I539" t="s">
        <v>35</v>
      </c>
      <c r="J539" t="s">
        <v>35</v>
      </c>
      <c r="K539" t="s">
        <v>37</v>
      </c>
      <c r="L539" t="s">
        <v>35</v>
      </c>
      <c r="M539" t="s">
        <v>37</v>
      </c>
      <c r="N539" t="s">
        <v>35</v>
      </c>
      <c r="O539" t="str">
        <f t="shared" si="18"/>
        <v>True</v>
      </c>
      <c r="P539" s="3">
        <v>46235.477625012252</v>
      </c>
      <c r="Q539" s="3">
        <v>0</v>
      </c>
      <c r="R539" s="3">
        <v>0</v>
      </c>
      <c r="S539" s="3">
        <v>5290.5152138249432</v>
      </c>
      <c r="T539" s="3">
        <v>872.82991601056892</v>
      </c>
      <c r="U539">
        <v>7.9754650619719494E-2</v>
      </c>
      <c r="V539" s="3">
        <v>-28778.87930480087</v>
      </c>
      <c r="W539">
        <v>52.97192130666199</v>
      </c>
      <c r="X539">
        <v>1.765740185433758</v>
      </c>
      <c r="Y539">
        <v>0.29131205477327821</v>
      </c>
      <c r="Z539" s="5">
        <v>0.14161626480811129</v>
      </c>
      <c r="AA539">
        <v>8.212745048529106</v>
      </c>
      <c r="AB539">
        <v>22.351141587769089</v>
      </c>
      <c r="AC539">
        <v>3.6874943642187108</v>
      </c>
      <c r="AD539" s="5">
        <v>0.14161626480811129</v>
      </c>
      <c r="AE539">
        <v>103.95879808264689</v>
      </c>
      <c r="AF539">
        <v>17.151136577761449</v>
      </c>
      <c r="AG539">
        <v>1.3549397896431541</v>
      </c>
      <c r="AH539" t="str">
        <f t="shared" si="17"/>
        <v>False</v>
      </c>
      <c r="AI539">
        <v>1</v>
      </c>
    </row>
    <row r="540" spans="1:35" x14ac:dyDescent="0.35">
      <c r="A540" t="s">
        <v>637</v>
      </c>
      <c r="B540" t="s">
        <v>626</v>
      </c>
      <c r="C540" t="s">
        <v>465</v>
      </c>
      <c r="D540" t="s">
        <v>39</v>
      </c>
      <c r="E540" t="s">
        <v>52</v>
      </c>
      <c r="F540" t="s">
        <v>39</v>
      </c>
      <c r="G540" t="s">
        <v>37</v>
      </c>
      <c r="H540" t="s">
        <v>35</v>
      </c>
      <c r="I540" t="s">
        <v>37</v>
      </c>
      <c r="J540" t="s">
        <v>35</v>
      </c>
      <c r="K540" t="s">
        <v>35</v>
      </c>
      <c r="L540" t="s">
        <v>35</v>
      </c>
      <c r="M540" t="s">
        <v>37</v>
      </c>
      <c r="N540" t="s">
        <v>35</v>
      </c>
      <c r="O540" t="str">
        <f t="shared" si="18"/>
        <v>True</v>
      </c>
      <c r="P540" s="3">
        <v>93557.944448215247</v>
      </c>
      <c r="Q540" s="3">
        <v>0</v>
      </c>
      <c r="R540" s="3">
        <v>0</v>
      </c>
      <c r="S540" s="3">
        <v>4478.8010992680247</v>
      </c>
      <c r="T540" s="3">
        <v>1684.544030567487</v>
      </c>
      <c r="U540">
        <v>7.6068252201727901E-2</v>
      </c>
      <c r="V540" s="3">
        <v>-59867.063836865498</v>
      </c>
      <c r="W540">
        <v>55.539031779832769</v>
      </c>
      <c r="X540">
        <v>1.494825884419831</v>
      </c>
      <c r="Y540">
        <v>0.56222635578720515</v>
      </c>
      <c r="Z540" s="5">
        <v>0.27331651807278301</v>
      </c>
      <c r="AA540">
        <v>6.9526785321852609</v>
      </c>
      <c r="AB540">
        <v>18.921846638225709</v>
      </c>
      <c r="AC540">
        <v>7.1167893137620908</v>
      </c>
      <c r="AD540" s="5">
        <v>0.27331651807278301</v>
      </c>
      <c r="AE540">
        <v>88.008589015003309</v>
      </c>
      <c r="AF540">
        <v>33.101345645405068</v>
      </c>
      <c r="AG540">
        <v>2.615006305986999</v>
      </c>
      <c r="AH540" t="str">
        <f t="shared" si="17"/>
        <v>True</v>
      </c>
      <c r="AI540">
        <v>2</v>
      </c>
    </row>
    <row r="541" spans="1:35" x14ac:dyDescent="0.35">
      <c r="A541" t="s">
        <v>638</v>
      </c>
      <c r="B541" t="s">
        <v>626</v>
      </c>
      <c r="C541" t="s">
        <v>465</v>
      </c>
      <c r="D541" t="s">
        <v>34</v>
      </c>
      <c r="E541" t="s">
        <v>52</v>
      </c>
      <c r="F541" t="s">
        <v>34</v>
      </c>
      <c r="G541" t="s">
        <v>35</v>
      </c>
      <c r="H541" t="s">
        <v>35</v>
      </c>
      <c r="I541" t="s">
        <v>35</v>
      </c>
      <c r="J541" t="s">
        <v>35</v>
      </c>
      <c r="K541" t="s">
        <v>37</v>
      </c>
      <c r="L541" t="s">
        <v>35</v>
      </c>
      <c r="M541" t="s">
        <v>35</v>
      </c>
      <c r="N541" t="s">
        <v>35</v>
      </c>
      <c r="O541" t="str">
        <f t="shared" si="18"/>
        <v>False</v>
      </c>
      <c r="P541" s="3">
        <v>19674.671329792451</v>
      </c>
      <c r="Q541" s="3">
        <v>0</v>
      </c>
      <c r="R541" s="3">
        <v>0</v>
      </c>
      <c r="S541" s="3">
        <v>5809.6458204039027</v>
      </c>
      <c r="T541" s="3">
        <v>353.69930943160898</v>
      </c>
      <c r="U541">
        <v>7.5950120610163901E-2</v>
      </c>
      <c r="V541" s="3">
        <v>-12600.685141160269</v>
      </c>
      <c r="W541">
        <v>55.625416293318281</v>
      </c>
      <c r="X541">
        <v>1.939003041030454</v>
      </c>
      <c r="Y541">
        <v>0.1180491991765826</v>
      </c>
      <c r="Z541" s="5">
        <v>5.7387555293540497E-2</v>
      </c>
      <c r="AA541">
        <v>9.0186187954904806</v>
      </c>
      <c r="AB541">
        <v>24.544342291524728</v>
      </c>
      <c r="AC541">
        <v>1.4942936604630721</v>
      </c>
      <c r="AD541" s="5">
        <v>5.7387555293540497E-2</v>
      </c>
      <c r="AE541">
        <v>114.15973158848711</v>
      </c>
      <c r="AF541">
        <v>6.9502030719212637</v>
      </c>
      <c r="AG541">
        <v>0.54906604268177972</v>
      </c>
      <c r="AH541" t="str">
        <f t="shared" si="17"/>
        <v>False</v>
      </c>
      <c r="AI541">
        <v>1</v>
      </c>
    </row>
    <row r="542" spans="1:35" x14ac:dyDescent="0.35">
      <c r="A542" t="s">
        <v>639</v>
      </c>
      <c r="B542" t="s">
        <v>626</v>
      </c>
      <c r="C542" t="s">
        <v>465</v>
      </c>
      <c r="D542" t="s">
        <v>34</v>
      </c>
      <c r="E542" t="s">
        <v>52</v>
      </c>
      <c r="F542" t="s">
        <v>34</v>
      </c>
      <c r="G542" t="s">
        <v>37</v>
      </c>
      <c r="H542" t="s">
        <v>35</v>
      </c>
      <c r="I542" t="s">
        <v>37</v>
      </c>
      <c r="J542" t="s">
        <v>35</v>
      </c>
      <c r="K542" t="s">
        <v>35</v>
      </c>
      <c r="L542" t="s">
        <v>35</v>
      </c>
      <c r="M542" t="s">
        <v>35</v>
      </c>
      <c r="N542" t="s">
        <v>35</v>
      </c>
      <c r="O542" t="str">
        <f t="shared" si="18"/>
        <v>True</v>
      </c>
      <c r="P542" s="3">
        <v>66997.138152995423</v>
      </c>
      <c r="Q542" s="3">
        <v>0</v>
      </c>
      <c r="R542" s="3">
        <v>0</v>
      </c>
      <c r="S542" s="3">
        <v>4974.3922330101996</v>
      </c>
      <c r="T542" s="3">
        <v>1188.9528968253121</v>
      </c>
      <c r="U542">
        <v>7.49739063925286E-2</v>
      </c>
      <c r="V542" s="3">
        <v>-43218.080216489179</v>
      </c>
      <c r="W542">
        <v>56.349699245351211</v>
      </c>
      <c r="X542">
        <v>1.660232304215487</v>
      </c>
      <c r="Y542">
        <v>0.39681993599154902</v>
      </c>
      <c r="Z542" s="5">
        <v>0.19290707753324249</v>
      </c>
      <c r="AA542">
        <v>7.7220107172813357</v>
      </c>
      <c r="AB542">
        <v>21.015598787537812</v>
      </c>
      <c r="AC542">
        <v>5.0230371644499883</v>
      </c>
      <c r="AD542" s="5">
        <v>0.1929070775332426</v>
      </c>
      <c r="AE542">
        <v>97.74697110482704</v>
      </c>
      <c r="AF542">
        <v>23.362963555581342</v>
      </c>
      <c r="AG542">
        <v>1.8456741208909251</v>
      </c>
      <c r="AH542" t="str">
        <f t="shared" si="17"/>
        <v>True</v>
      </c>
      <c r="AI542">
        <v>2</v>
      </c>
    </row>
    <row r="543" spans="1:35" x14ac:dyDescent="0.35">
      <c r="A543" t="s">
        <v>640</v>
      </c>
      <c r="B543" t="s">
        <v>626</v>
      </c>
      <c r="C543" t="s">
        <v>465</v>
      </c>
      <c r="D543" t="s">
        <v>39</v>
      </c>
      <c r="E543" t="s">
        <v>52</v>
      </c>
      <c r="F543" t="s">
        <v>39</v>
      </c>
      <c r="G543" t="s">
        <v>37</v>
      </c>
      <c r="H543" t="s">
        <v>35</v>
      </c>
      <c r="I543" t="s">
        <v>37</v>
      </c>
      <c r="J543" t="s">
        <v>35</v>
      </c>
      <c r="K543" t="s">
        <v>37</v>
      </c>
      <c r="L543" t="s">
        <v>35</v>
      </c>
      <c r="M543" t="s">
        <v>37</v>
      </c>
      <c r="N543" t="s">
        <v>35</v>
      </c>
      <c r="O543" t="str">
        <f t="shared" si="18"/>
        <v>True</v>
      </c>
      <c r="P543" s="3">
        <v>113232.6157780077</v>
      </c>
      <c r="Q543" s="3">
        <v>0</v>
      </c>
      <c r="R543" s="3">
        <v>0</v>
      </c>
      <c r="S543" s="3">
        <v>4167.5522600888416</v>
      </c>
      <c r="T543" s="3">
        <v>1995.79286974667</v>
      </c>
      <c r="U543">
        <v>7.4463881203250107E-2</v>
      </c>
      <c r="V543" s="3">
        <v>-73316.75838307431</v>
      </c>
      <c r="W543">
        <v>56.735655034372648</v>
      </c>
      <c r="X543">
        <v>1.390944776286517</v>
      </c>
      <c r="Y543">
        <v>0.66610746392051934</v>
      </c>
      <c r="Z543" s="5">
        <v>0.32381650349019703</v>
      </c>
      <c r="AA543">
        <v>6.4695105873791476</v>
      </c>
      <c r="AB543">
        <v>17.606895902360971</v>
      </c>
      <c r="AC543">
        <v>8.4317400496268284</v>
      </c>
      <c r="AD543" s="5">
        <v>0.32381650349019708</v>
      </c>
      <c r="AE543">
        <v>81.892539080748705</v>
      </c>
      <c r="AF543">
        <v>39.217395579659673</v>
      </c>
      <c r="AG543">
        <v>3.0981742507931131</v>
      </c>
      <c r="AH543" t="str">
        <f t="shared" si="17"/>
        <v>True</v>
      </c>
      <c r="AI543">
        <v>2</v>
      </c>
    </row>
    <row r="544" spans="1:35" x14ac:dyDescent="0.35">
      <c r="A544" t="s">
        <v>641</v>
      </c>
      <c r="B544" t="s">
        <v>626</v>
      </c>
      <c r="C544" t="s">
        <v>465</v>
      </c>
      <c r="D544" t="s">
        <v>39</v>
      </c>
      <c r="E544" t="s">
        <v>52</v>
      </c>
      <c r="F544" t="s">
        <v>39</v>
      </c>
      <c r="G544" t="s">
        <v>37</v>
      </c>
      <c r="H544" t="s">
        <v>35</v>
      </c>
      <c r="I544" t="s">
        <v>37</v>
      </c>
      <c r="J544" t="s">
        <v>35</v>
      </c>
      <c r="K544" t="s">
        <v>37</v>
      </c>
      <c r="L544" t="s">
        <v>35</v>
      </c>
      <c r="M544" t="s">
        <v>35</v>
      </c>
      <c r="N544" t="s">
        <v>35</v>
      </c>
      <c r="O544" t="str">
        <f t="shared" si="18"/>
        <v>True</v>
      </c>
      <c r="P544" s="3">
        <v>86671.809482787881</v>
      </c>
      <c r="Q544" s="3">
        <v>0</v>
      </c>
      <c r="R544" s="3">
        <v>0</v>
      </c>
      <c r="S544" s="3">
        <v>4638.8645636033516</v>
      </c>
      <c r="T544" s="3">
        <v>1524.480566232161</v>
      </c>
      <c r="U544">
        <v>7.43097449858416E-2</v>
      </c>
      <c r="V544" s="3">
        <v>-56182.198158144667</v>
      </c>
      <c r="W544">
        <v>56.853338378069409</v>
      </c>
      <c r="X544">
        <v>1.5482479954569699</v>
      </c>
      <c r="Y544">
        <v>0.50880424475006625</v>
      </c>
      <c r="Z544" s="5">
        <v>0.2473462923327881</v>
      </c>
      <c r="AA544">
        <v>7.2011534672417206</v>
      </c>
      <c r="AB544">
        <v>19.598075891860379</v>
      </c>
      <c r="AC544">
        <v>6.4405600601274209</v>
      </c>
      <c r="AD544" s="5">
        <v>0.2473462923327881</v>
      </c>
      <c r="AE544">
        <v>91.153841357490137</v>
      </c>
      <c r="AF544">
        <v>29.956093302918241</v>
      </c>
      <c r="AG544">
        <v>2.3665313709305398</v>
      </c>
      <c r="AH544" t="str">
        <f t="shared" si="17"/>
        <v>True</v>
      </c>
      <c r="AI544">
        <v>2</v>
      </c>
    </row>
    <row r="545" spans="1:35" x14ac:dyDescent="0.35">
      <c r="A545" t="s">
        <v>642</v>
      </c>
      <c r="B545" t="s">
        <v>643</v>
      </c>
      <c r="C545" t="s">
        <v>465</v>
      </c>
      <c r="D545" t="s">
        <v>34</v>
      </c>
      <c r="E545" t="s">
        <v>52</v>
      </c>
      <c r="F545" t="s">
        <v>34</v>
      </c>
      <c r="G545" t="s">
        <v>35</v>
      </c>
      <c r="H545" t="s">
        <v>35</v>
      </c>
      <c r="I545" t="s">
        <v>35</v>
      </c>
      <c r="J545" t="s">
        <v>35</v>
      </c>
      <c r="K545" t="s">
        <v>35</v>
      </c>
      <c r="L545" t="s">
        <v>35</v>
      </c>
      <c r="M545" t="s">
        <v>35</v>
      </c>
      <c r="N545" t="s">
        <v>35</v>
      </c>
      <c r="O545" t="str">
        <f t="shared" si="18"/>
        <v>False</v>
      </c>
      <c r="P545" s="3">
        <v>0</v>
      </c>
      <c r="Q545" s="3">
        <v>0</v>
      </c>
      <c r="R545" s="3">
        <v>0</v>
      </c>
      <c r="S545" s="3">
        <v>8285.7677388491757</v>
      </c>
      <c r="T545" s="3">
        <v>0</v>
      </c>
      <c r="U545">
        <v>0</v>
      </c>
      <c r="V545" s="3">
        <v>0</v>
      </c>
      <c r="W545">
        <v>0</v>
      </c>
      <c r="X545">
        <v>2.7654231152052589</v>
      </c>
      <c r="Y545">
        <v>-4.4408920985006262E-16</v>
      </c>
      <c r="Z545" s="5">
        <v>-1.6058635201546761E-16</v>
      </c>
      <c r="AA545">
        <v>10.092785091990001</v>
      </c>
      <c r="AB545">
        <v>35.005355888674167</v>
      </c>
      <c r="AC545">
        <v>0</v>
      </c>
      <c r="AD545" s="5">
        <v>0</v>
      </c>
      <c r="AE545">
        <v>127.7567733163291</v>
      </c>
      <c r="AF545">
        <v>0</v>
      </c>
      <c r="AG545">
        <v>3.5527136788005009E-15</v>
      </c>
      <c r="AH545" t="str">
        <f t="shared" si="17"/>
        <v>False</v>
      </c>
      <c r="AI545">
        <v>0</v>
      </c>
    </row>
    <row r="546" spans="1:35" x14ac:dyDescent="0.35">
      <c r="A546" t="s">
        <v>644</v>
      </c>
      <c r="B546" t="s">
        <v>643</v>
      </c>
      <c r="C546" t="s">
        <v>465</v>
      </c>
      <c r="D546" t="s">
        <v>34</v>
      </c>
      <c r="E546" t="s">
        <v>52</v>
      </c>
      <c r="F546" t="s">
        <v>34</v>
      </c>
      <c r="G546" t="s">
        <v>37</v>
      </c>
      <c r="H546" t="s">
        <v>35</v>
      </c>
      <c r="I546" t="s">
        <v>35</v>
      </c>
      <c r="J546" t="s">
        <v>35</v>
      </c>
      <c r="K546" t="s">
        <v>35</v>
      </c>
      <c r="L546" t="s">
        <v>35</v>
      </c>
      <c r="M546" t="s">
        <v>35</v>
      </c>
      <c r="N546" t="s">
        <v>35</v>
      </c>
      <c r="O546" t="str">
        <f t="shared" si="18"/>
        <v>False</v>
      </c>
      <c r="P546" s="3">
        <v>12986.24608279649</v>
      </c>
      <c r="Q546" s="3">
        <v>0</v>
      </c>
      <c r="R546" s="3">
        <v>0</v>
      </c>
      <c r="S546" s="3">
        <v>7026.7060415077713</v>
      </c>
      <c r="T546" s="3">
        <v>1259.0616973414039</v>
      </c>
      <c r="U546">
        <v>0.40960488363143521</v>
      </c>
      <c r="V546" s="3">
        <v>12194.98786403158</v>
      </c>
      <c r="W546">
        <v>10.314225355451491</v>
      </c>
      <c r="X546">
        <v>2.345203959776569</v>
      </c>
      <c r="Y546">
        <v>0.42021915542868937</v>
      </c>
      <c r="Z546" s="5">
        <v>0.1519547417963559</v>
      </c>
      <c r="AA546">
        <v>8.5591385393305455</v>
      </c>
      <c r="AB546">
        <v>29.68612607312113</v>
      </c>
      <c r="AC546">
        <v>5.3192298155530366</v>
      </c>
      <c r="AD546" s="5">
        <v>0.1519547417963561</v>
      </c>
      <c r="AE546">
        <v>108.34352581431069</v>
      </c>
      <c r="AF546">
        <v>19.413247502018379</v>
      </c>
      <c r="AG546">
        <v>1.5336465526594549</v>
      </c>
      <c r="AH546" t="str">
        <f t="shared" si="17"/>
        <v>True</v>
      </c>
      <c r="AI546">
        <v>1</v>
      </c>
    </row>
    <row r="547" spans="1:35" x14ac:dyDescent="0.35">
      <c r="A547" t="s">
        <v>645</v>
      </c>
      <c r="B547" t="s">
        <v>643</v>
      </c>
      <c r="C547" t="s">
        <v>465</v>
      </c>
      <c r="D547" t="s">
        <v>39</v>
      </c>
      <c r="E547" t="s">
        <v>52</v>
      </c>
      <c r="F547" t="s">
        <v>39</v>
      </c>
      <c r="G547" t="s">
        <v>37</v>
      </c>
      <c r="H547" t="s">
        <v>35</v>
      </c>
      <c r="I547" t="s">
        <v>35</v>
      </c>
      <c r="J547" t="s">
        <v>35</v>
      </c>
      <c r="K547" t="s">
        <v>35</v>
      </c>
      <c r="L547" t="s">
        <v>35</v>
      </c>
      <c r="M547" t="s">
        <v>37</v>
      </c>
      <c r="N547" t="s">
        <v>35</v>
      </c>
      <c r="O547" t="str">
        <f t="shared" si="18"/>
        <v>True</v>
      </c>
      <c r="P547" s="3">
        <v>70291.72031094454</v>
      </c>
      <c r="Q547" s="3">
        <v>0</v>
      </c>
      <c r="R547" s="3">
        <v>0</v>
      </c>
      <c r="S547" s="3">
        <v>5744.0614746372212</v>
      </c>
      <c r="T547" s="3">
        <v>2541.706264211954</v>
      </c>
      <c r="U547">
        <v>0.15276467098160951</v>
      </c>
      <c r="V547" s="3">
        <v>-19457.595026705469</v>
      </c>
      <c r="W547">
        <v>27.655327958495722</v>
      </c>
      <c r="X547">
        <v>1.9171138846486711</v>
      </c>
      <c r="Y547">
        <v>0.84830923055658758</v>
      </c>
      <c r="Z547" s="5">
        <v>0.30675567362270473</v>
      </c>
      <c r="AA547">
        <v>6.996766002367413</v>
      </c>
      <c r="AB547">
        <v>24.267264362641409</v>
      </c>
      <c r="AC547">
        <v>10.738091526032759</v>
      </c>
      <c r="AD547" s="5">
        <v>0.30675567362270473</v>
      </c>
      <c r="AE547">
        <v>88.566658257815362</v>
      </c>
      <c r="AF547">
        <v>39.190115058513719</v>
      </c>
      <c r="AG547">
        <v>3.0960190896225881</v>
      </c>
      <c r="AH547" t="str">
        <f t="shared" si="17"/>
        <v>True</v>
      </c>
      <c r="AI547">
        <v>1</v>
      </c>
    </row>
    <row r="548" spans="1:35" x14ac:dyDescent="0.35">
      <c r="A548" t="s">
        <v>646</v>
      </c>
      <c r="B548" t="s">
        <v>643</v>
      </c>
      <c r="C548" t="s">
        <v>465</v>
      </c>
      <c r="D548" t="s">
        <v>34</v>
      </c>
      <c r="E548" t="s">
        <v>52</v>
      </c>
      <c r="F548" t="s">
        <v>34</v>
      </c>
      <c r="G548" t="s">
        <v>37</v>
      </c>
      <c r="H548" t="s">
        <v>35</v>
      </c>
      <c r="I548" t="s">
        <v>35</v>
      </c>
      <c r="J548" t="s">
        <v>35</v>
      </c>
      <c r="K548" t="s">
        <v>37</v>
      </c>
      <c r="L548" t="s">
        <v>35</v>
      </c>
      <c r="M548" t="s">
        <v>35</v>
      </c>
      <c r="N548" t="s">
        <v>35</v>
      </c>
      <c r="O548" t="str">
        <f t="shared" si="18"/>
        <v>True</v>
      </c>
      <c r="P548" s="3">
        <v>55434.745511054287</v>
      </c>
      <c r="Q548" s="3">
        <v>0</v>
      </c>
      <c r="R548" s="3">
        <v>0</v>
      </c>
      <c r="S548" s="3">
        <v>6387.2346864205201</v>
      </c>
      <c r="T548" s="3">
        <v>1898.5330524286551</v>
      </c>
      <c r="U548">
        <v>0.14468977667728461</v>
      </c>
      <c r="V548" s="3">
        <v>-17464.084462481191</v>
      </c>
      <c r="W548">
        <v>29.1987255318735</v>
      </c>
      <c r="X548">
        <v>2.131776680300892</v>
      </c>
      <c r="Y548">
        <v>0.6336464349043669</v>
      </c>
      <c r="Z548" s="5">
        <v>0.22913182124657819</v>
      </c>
      <c r="AA548">
        <v>7.7802068624120153</v>
      </c>
      <c r="AB548">
        <v>26.98451494051762</v>
      </c>
      <c r="AC548">
        <v>8.0208409481565468</v>
      </c>
      <c r="AD548" s="5">
        <v>0.2291318212465783</v>
      </c>
      <c r="AE548">
        <v>98.483631169772337</v>
      </c>
      <c r="AF548">
        <v>29.27314214655674</v>
      </c>
      <c r="AG548">
        <v>2.3125782295779849</v>
      </c>
      <c r="AH548" t="str">
        <f t="shared" si="17"/>
        <v>True</v>
      </c>
      <c r="AI548">
        <v>2</v>
      </c>
    </row>
    <row r="549" spans="1:35" x14ac:dyDescent="0.35">
      <c r="A549" t="s">
        <v>647</v>
      </c>
      <c r="B549" t="s">
        <v>643</v>
      </c>
      <c r="C549" t="s">
        <v>465</v>
      </c>
      <c r="D549" t="s">
        <v>34</v>
      </c>
      <c r="E549" t="s">
        <v>52</v>
      </c>
      <c r="F549" t="s">
        <v>34</v>
      </c>
      <c r="G549" t="s">
        <v>35</v>
      </c>
      <c r="H549" t="s">
        <v>37</v>
      </c>
      <c r="I549" t="s">
        <v>35</v>
      </c>
      <c r="J549" t="s">
        <v>35</v>
      </c>
      <c r="K549" t="s">
        <v>35</v>
      </c>
      <c r="L549" t="s">
        <v>35</v>
      </c>
      <c r="M549" t="s">
        <v>35</v>
      </c>
      <c r="N549" t="s">
        <v>35</v>
      </c>
      <c r="O549" t="str">
        <f t="shared" si="18"/>
        <v>False</v>
      </c>
      <c r="P549" s="3">
        <v>31166.990598711582</v>
      </c>
      <c r="Q549" s="3">
        <v>0</v>
      </c>
      <c r="R549" s="3">
        <v>0</v>
      </c>
      <c r="S549" s="3">
        <v>7259.2023464298763</v>
      </c>
      <c r="T549" s="3">
        <v>1026.565392419298</v>
      </c>
      <c r="U549">
        <v>0.1391532940065113</v>
      </c>
      <c r="V549" s="3">
        <v>-10635.68275032561</v>
      </c>
      <c r="W549">
        <v>30.360453244250309</v>
      </c>
      <c r="X549">
        <v>2.4228009521248852</v>
      </c>
      <c r="Y549">
        <v>0.34262216308037408</v>
      </c>
      <c r="Z549" s="5">
        <v>0.1238950239464327</v>
      </c>
      <c r="AA549">
        <v>8.842339241331695</v>
      </c>
      <c r="AB549">
        <v>30.668366482593481</v>
      </c>
      <c r="AC549">
        <v>4.3369894060806864</v>
      </c>
      <c r="AD549" s="5">
        <v>0.1238950239464327</v>
      </c>
      <c r="AE549">
        <v>111.9283448269835</v>
      </c>
      <c r="AF549">
        <v>15.828428489345569</v>
      </c>
      <c r="AG549">
        <v>1.250445850658306</v>
      </c>
      <c r="AH549" t="str">
        <f t="shared" si="17"/>
        <v>False</v>
      </c>
      <c r="AI549">
        <v>1</v>
      </c>
    </row>
    <row r="550" spans="1:35" x14ac:dyDescent="0.35">
      <c r="A550" t="s">
        <v>648</v>
      </c>
      <c r="B550" t="s">
        <v>643</v>
      </c>
      <c r="C550" t="s">
        <v>465</v>
      </c>
      <c r="D550" t="s">
        <v>39</v>
      </c>
      <c r="E550" t="s">
        <v>52</v>
      </c>
      <c r="F550" t="s">
        <v>39</v>
      </c>
      <c r="G550" t="s">
        <v>37</v>
      </c>
      <c r="H550" t="s">
        <v>35</v>
      </c>
      <c r="I550" t="s">
        <v>35</v>
      </c>
      <c r="J550" t="s">
        <v>35</v>
      </c>
      <c r="K550" t="s">
        <v>37</v>
      </c>
      <c r="L550" t="s">
        <v>35</v>
      </c>
      <c r="M550" t="s">
        <v>37</v>
      </c>
      <c r="N550" t="s">
        <v>35</v>
      </c>
      <c r="O550" t="str">
        <f t="shared" si="18"/>
        <v>True</v>
      </c>
      <c r="P550" s="3">
        <v>112740.21973920229</v>
      </c>
      <c r="Q550" s="3">
        <v>0</v>
      </c>
      <c r="R550" s="3">
        <v>0</v>
      </c>
      <c r="S550" s="3">
        <v>5156.7252205057412</v>
      </c>
      <c r="T550" s="3">
        <v>3129.042518343434</v>
      </c>
      <c r="U550">
        <v>0.1172557987958604</v>
      </c>
      <c r="V550" s="3">
        <v>-50159.369372333618</v>
      </c>
      <c r="W550">
        <v>36.0302613589568</v>
      </c>
      <c r="X550">
        <v>1.721086997971921</v>
      </c>
      <c r="Y550">
        <v>1.0443361172333381</v>
      </c>
      <c r="Z550" s="5">
        <v>0.37764062630821837</v>
      </c>
      <c r="AA550">
        <v>6.2813394086566454</v>
      </c>
      <c r="AB550">
        <v>21.785911366733171</v>
      </c>
      <c r="AC550">
        <v>13.219444521941</v>
      </c>
      <c r="AD550" s="5">
        <v>0.37764062630821849</v>
      </c>
      <c r="AE550">
        <v>79.510625426033471</v>
      </c>
      <c r="AF550">
        <v>48.24614789029561</v>
      </c>
      <c r="AG550">
        <v>3.8114456833333561</v>
      </c>
      <c r="AH550" t="str">
        <f t="shared" si="17"/>
        <v>True</v>
      </c>
      <c r="AI550">
        <v>2</v>
      </c>
    </row>
    <row r="551" spans="1:35" x14ac:dyDescent="0.35">
      <c r="A551" t="s">
        <v>649</v>
      </c>
      <c r="B551" t="s">
        <v>643</v>
      </c>
      <c r="C551" t="s">
        <v>465</v>
      </c>
      <c r="D551" t="s">
        <v>34</v>
      </c>
      <c r="E551" t="s">
        <v>52</v>
      </c>
      <c r="F551" t="s">
        <v>34</v>
      </c>
      <c r="G551" t="s">
        <v>35</v>
      </c>
      <c r="H551" t="s">
        <v>37</v>
      </c>
      <c r="I551" t="s">
        <v>35</v>
      </c>
      <c r="J551" t="s">
        <v>35</v>
      </c>
      <c r="K551" t="s">
        <v>35</v>
      </c>
      <c r="L551" t="s">
        <v>35</v>
      </c>
      <c r="M551" t="s">
        <v>37</v>
      </c>
      <c r="N551" t="s">
        <v>35</v>
      </c>
      <c r="O551" t="str">
        <f t="shared" si="18"/>
        <v>True</v>
      </c>
      <c r="P551" s="3">
        <v>88472.464826859621</v>
      </c>
      <c r="Q551" s="3">
        <v>0</v>
      </c>
      <c r="R551" s="3">
        <v>0</v>
      </c>
      <c r="S551" s="3">
        <v>5959.76948778121</v>
      </c>
      <c r="T551" s="3">
        <v>2325.9982510679652</v>
      </c>
      <c r="U551">
        <v>0.1110715926167853</v>
      </c>
      <c r="V551" s="3">
        <v>-41952.499805500323</v>
      </c>
      <c r="W551">
        <v>38.03634193888071</v>
      </c>
      <c r="X551">
        <v>1.989107687092166</v>
      </c>
      <c r="Y551">
        <v>0.77631542811309329</v>
      </c>
      <c r="Z551" s="5">
        <v>0.28072211584717027</v>
      </c>
      <c r="AA551">
        <v>7.259517106175787</v>
      </c>
      <c r="AB551">
        <v>25.17857831762235</v>
      </c>
      <c r="AC551">
        <v>9.8267775710518155</v>
      </c>
      <c r="AD551" s="5">
        <v>0.28072211584717038</v>
      </c>
      <c r="AE551">
        <v>91.892621597161835</v>
      </c>
      <c r="AF551">
        <v>35.864151719167218</v>
      </c>
      <c r="AG551">
        <v>2.833267985814214</v>
      </c>
      <c r="AH551" t="str">
        <f t="shared" si="17"/>
        <v>False</v>
      </c>
      <c r="AI551">
        <v>1</v>
      </c>
    </row>
    <row r="552" spans="1:35" x14ac:dyDescent="0.35">
      <c r="A552" t="s">
        <v>650</v>
      </c>
      <c r="B552" t="s">
        <v>643</v>
      </c>
      <c r="C552" t="s">
        <v>465</v>
      </c>
      <c r="D552" t="s">
        <v>39</v>
      </c>
      <c r="E552" t="s">
        <v>52</v>
      </c>
      <c r="F552" t="s">
        <v>39</v>
      </c>
      <c r="G552" t="s">
        <v>37</v>
      </c>
      <c r="H552" t="s">
        <v>35</v>
      </c>
      <c r="I552" t="s">
        <v>37</v>
      </c>
      <c r="J552" t="s">
        <v>35</v>
      </c>
      <c r="K552" t="s">
        <v>35</v>
      </c>
      <c r="L552" t="s">
        <v>35</v>
      </c>
      <c r="M552" t="s">
        <v>35</v>
      </c>
      <c r="N552" t="s">
        <v>35</v>
      </c>
      <c r="O552" t="str">
        <f t="shared" si="18"/>
        <v>True</v>
      </c>
      <c r="P552" s="3">
        <v>91881.766217610362</v>
      </c>
      <c r="Q552" s="3">
        <v>0</v>
      </c>
      <c r="R552" s="3">
        <v>0</v>
      </c>
      <c r="S552" s="3">
        <v>5874.3549838224981</v>
      </c>
      <c r="T552" s="3">
        <v>2411.4127550266771</v>
      </c>
      <c r="U552">
        <v>0.11087763677677109</v>
      </c>
      <c r="V552" s="3">
        <v>-43653.511117076807</v>
      </c>
      <c r="W552">
        <v>38.102878085089117</v>
      </c>
      <c r="X552">
        <v>1.9606001002195921</v>
      </c>
      <c r="Y552">
        <v>0.804823014985667</v>
      </c>
      <c r="Z552" s="5">
        <v>0.29103069637353862</v>
      </c>
      <c r="AA552">
        <v>7.1554748183196786</v>
      </c>
      <c r="AB552">
        <v>24.817722787589769</v>
      </c>
      <c r="AC552">
        <v>10.187633101084399</v>
      </c>
      <c r="AD552" s="5">
        <v>0.29103069637353868</v>
      </c>
      <c r="AE552">
        <v>90.5756306116415</v>
      </c>
      <c r="AF552">
        <v>37.181142704687581</v>
      </c>
      <c r="AG552">
        <v>2.937310273670322</v>
      </c>
      <c r="AH552" t="str">
        <f t="shared" si="17"/>
        <v>True</v>
      </c>
      <c r="AI552">
        <v>1</v>
      </c>
    </row>
    <row r="553" spans="1:35" x14ac:dyDescent="0.35">
      <c r="A553" t="s">
        <v>651</v>
      </c>
      <c r="B553" t="s">
        <v>643</v>
      </c>
      <c r="C553" t="s">
        <v>465</v>
      </c>
      <c r="D553" t="s">
        <v>39</v>
      </c>
      <c r="E553" t="s">
        <v>52</v>
      </c>
      <c r="F553" t="s">
        <v>39</v>
      </c>
      <c r="G553" t="s">
        <v>37</v>
      </c>
      <c r="H553" t="s">
        <v>35</v>
      </c>
      <c r="I553" t="s">
        <v>37</v>
      </c>
      <c r="J553" t="s">
        <v>35</v>
      </c>
      <c r="K553" t="s">
        <v>35</v>
      </c>
      <c r="L553" t="s">
        <v>35</v>
      </c>
      <c r="M553" t="s">
        <v>37</v>
      </c>
      <c r="N553" t="s">
        <v>35</v>
      </c>
      <c r="O553" t="str">
        <f t="shared" si="18"/>
        <v>True</v>
      </c>
      <c r="P553" s="3">
        <v>149187.24044575839</v>
      </c>
      <c r="Q553" s="3">
        <v>0</v>
      </c>
      <c r="R553" s="3">
        <v>0</v>
      </c>
      <c r="S553" s="3">
        <v>4656.8419577078967</v>
      </c>
      <c r="T553" s="3">
        <v>3628.925781141279</v>
      </c>
      <c r="U553">
        <v>0.1027656911411826</v>
      </c>
      <c r="V553" s="3">
        <v>-76608.724822932825</v>
      </c>
      <c r="W553">
        <v>41.110579119873798</v>
      </c>
      <c r="X553">
        <v>1.5542480551707809</v>
      </c>
      <c r="Y553">
        <v>1.2111750600344779</v>
      </c>
      <c r="Z553" s="5">
        <v>0.43797097571616289</v>
      </c>
      <c r="AA553">
        <v>5.6724381575575942</v>
      </c>
      <c r="AB553">
        <v>19.674026014820011</v>
      </c>
      <c r="AC553">
        <v>15.331329873854161</v>
      </c>
      <c r="AD553" s="5">
        <v>0.43797097571616289</v>
      </c>
      <c r="AE553">
        <v>71.80301465262778</v>
      </c>
      <c r="AF553">
        <v>55.953758663701301</v>
      </c>
      <c r="AG553">
        <v>4.4203469344324056</v>
      </c>
      <c r="AH553" t="str">
        <f t="shared" si="17"/>
        <v>True</v>
      </c>
      <c r="AI553">
        <v>1</v>
      </c>
    </row>
    <row r="554" spans="1:35" x14ac:dyDescent="0.35">
      <c r="A554" t="s">
        <v>652</v>
      </c>
      <c r="B554" t="s">
        <v>643</v>
      </c>
      <c r="C554" t="s">
        <v>465</v>
      </c>
      <c r="D554" t="s">
        <v>34</v>
      </c>
      <c r="E554" t="s">
        <v>52</v>
      </c>
      <c r="F554" t="s">
        <v>34</v>
      </c>
      <c r="G554" t="s">
        <v>35</v>
      </c>
      <c r="H554" t="s">
        <v>35</v>
      </c>
      <c r="I554" t="s">
        <v>35</v>
      </c>
      <c r="J554" t="s">
        <v>35</v>
      </c>
      <c r="K554" t="s">
        <v>35</v>
      </c>
      <c r="L554" t="s">
        <v>35</v>
      </c>
      <c r="M554" t="s">
        <v>37</v>
      </c>
      <c r="N554" t="s">
        <v>35</v>
      </c>
      <c r="O554" t="str">
        <f t="shared" si="18"/>
        <v>False</v>
      </c>
      <c r="P554" s="3">
        <v>57305.474228148043</v>
      </c>
      <c r="Q554" s="3">
        <v>0</v>
      </c>
      <c r="R554" s="3">
        <v>0</v>
      </c>
      <c r="S554" s="3">
        <v>6952.8138836312173</v>
      </c>
      <c r="T554" s="3">
        <v>1332.9538552179581</v>
      </c>
      <c r="U554">
        <v>9.8269952535728206E-2</v>
      </c>
      <c r="V554" s="3">
        <v>-30646.397123788891</v>
      </c>
      <c r="W554">
        <v>42.99134137601316</v>
      </c>
      <c r="X554">
        <v>2.3205420228426958</v>
      </c>
      <c r="Y554">
        <v>0.44488109236256262</v>
      </c>
      <c r="Z554" s="5">
        <v>0.160872703318509</v>
      </c>
      <c r="AA554">
        <v>8.4691314702288185</v>
      </c>
      <c r="AB554">
        <v>29.373949656236661</v>
      </c>
      <c r="AC554">
        <v>5.6314062324375058</v>
      </c>
      <c r="AD554" s="5">
        <v>0.16087270331850911</v>
      </c>
      <c r="AE554">
        <v>107.2041958256813</v>
      </c>
      <c r="AF554">
        <v>20.552577490647831</v>
      </c>
      <c r="AG554">
        <v>1.6236536217611821</v>
      </c>
      <c r="AH554" t="str">
        <f t="shared" si="17"/>
        <v>False</v>
      </c>
      <c r="AI554">
        <v>0</v>
      </c>
    </row>
    <row r="555" spans="1:35" x14ac:dyDescent="0.35">
      <c r="A555" t="s">
        <v>653</v>
      </c>
      <c r="B555" t="s">
        <v>643</v>
      </c>
      <c r="C555" t="s">
        <v>465</v>
      </c>
      <c r="D555" t="s">
        <v>34</v>
      </c>
      <c r="E555" t="s">
        <v>52</v>
      </c>
      <c r="F555" t="s">
        <v>34</v>
      </c>
      <c r="G555" t="s">
        <v>35</v>
      </c>
      <c r="H555" t="s">
        <v>37</v>
      </c>
      <c r="I555" t="s">
        <v>35</v>
      </c>
      <c r="J555" t="s">
        <v>35</v>
      </c>
      <c r="K555" t="s">
        <v>37</v>
      </c>
      <c r="L555" t="s">
        <v>35</v>
      </c>
      <c r="M555" t="s">
        <v>35</v>
      </c>
      <c r="N555" t="s">
        <v>35</v>
      </c>
      <c r="O555" t="str">
        <f t="shared" si="18"/>
        <v>True</v>
      </c>
      <c r="P555" s="3">
        <v>73615.490026969375</v>
      </c>
      <c r="Q555" s="3">
        <v>0</v>
      </c>
      <c r="R555" s="3">
        <v>0</v>
      </c>
      <c r="S555" s="3">
        <v>6614.4955334625274</v>
      </c>
      <c r="T555" s="3">
        <v>1671.2722053866489</v>
      </c>
      <c r="U555">
        <v>9.5913496926054095E-2</v>
      </c>
      <c r="V555" s="3">
        <v>-40190.0459192364</v>
      </c>
      <c r="W555">
        <v>44.047576325209363</v>
      </c>
      <c r="X555">
        <v>2.2076263081687348</v>
      </c>
      <c r="Y555">
        <v>0.55779680703652357</v>
      </c>
      <c r="Z555" s="5">
        <v>0.20170396492658299</v>
      </c>
      <c r="AA555">
        <v>8.0570303217837047</v>
      </c>
      <c r="AB555">
        <v>27.94463681226247</v>
      </c>
      <c r="AC555">
        <v>7.0607190764116972</v>
      </c>
      <c r="AD555" s="5">
        <v>0.20170396492658321</v>
      </c>
      <c r="AE555">
        <v>101.9877255921988</v>
      </c>
      <c r="AF555">
        <v>25.769047724130282</v>
      </c>
      <c r="AG555">
        <v>2.0357547702062959</v>
      </c>
      <c r="AH555" t="str">
        <f t="shared" si="17"/>
        <v>False</v>
      </c>
      <c r="AI555">
        <v>2</v>
      </c>
    </row>
    <row r="556" spans="1:35" x14ac:dyDescent="0.35">
      <c r="A556" t="s">
        <v>654</v>
      </c>
      <c r="B556" t="s">
        <v>643</v>
      </c>
      <c r="C556" t="s">
        <v>465</v>
      </c>
      <c r="D556" t="s">
        <v>39</v>
      </c>
      <c r="E556" t="s">
        <v>52</v>
      </c>
      <c r="F556" t="s">
        <v>39</v>
      </c>
      <c r="G556" t="s">
        <v>37</v>
      </c>
      <c r="H556" t="s">
        <v>35</v>
      </c>
      <c r="I556" t="s">
        <v>37</v>
      </c>
      <c r="J556" t="s">
        <v>35</v>
      </c>
      <c r="K556" t="s">
        <v>37</v>
      </c>
      <c r="L556" t="s">
        <v>35</v>
      </c>
      <c r="M556" t="s">
        <v>35</v>
      </c>
      <c r="N556" t="s">
        <v>35</v>
      </c>
      <c r="O556" t="str">
        <f t="shared" si="18"/>
        <v>True</v>
      </c>
      <c r="P556" s="3">
        <v>134330.26564586809</v>
      </c>
      <c r="Q556" s="3">
        <v>0</v>
      </c>
      <c r="R556" s="3">
        <v>0</v>
      </c>
      <c r="S556" s="3">
        <v>5264.8100040964518</v>
      </c>
      <c r="T556" s="3">
        <v>3020.9577347527229</v>
      </c>
      <c r="U556">
        <v>9.5010699980702301E-2</v>
      </c>
      <c r="V556" s="3">
        <v>-73911.110950813629</v>
      </c>
      <c r="W556">
        <v>44.466118840574758</v>
      </c>
      <c r="X556">
        <v>1.757160922364257</v>
      </c>
      <c r="Y556">
        <v>1.0082621928410009</v>
      </c>
      <c r="Z556" s="5">
        <v>0.36459599520132202</v>
      </c>
      <c r="AA556">
        <v>6.4129960670228376</v>
      </c>
      <c r="AB556">
        <v>22.242543321066549</v>
      </c>
      <c r="AC556">
        <v>12.76281256760762</v>
      </c>
      <c r="AD556" s="5">
        <v>0.36459599520132208</v>
      </c>
      <c r="AE556">
        <v>81.177165405352369</v>
      </c>
      <c r="AF556">
        <v>46.579607910976698</v>
      </c>
      <c r="AG556">
        <v>3.679789024967163</v>
      </c>
      <c r="AH556" t="str">
        <f t="shared" si="17"/>
        <v>True</v>
      </c>
      <c r="AI556">
        <v>2</v>
      </c>
    </row>
    <row r="557" spans="1:35" x14ac:dyDescent="0.35">
      <c r="A557" t="s">
        <v>655</v>
      </c>
      <c r="B557" t="s">
        <v>643</v>
      </c>
      <c r="C557" t="s">
        <v>465</v>
      </c>
      <c r="D557" t="s">
        <v>39</v>
      </c>
      <c r="E557" t="s">
        <v>52</v>
      </c>
      <c r="F557" t="s">
        <v>39</v>
      </c>
      <c r="G557" t="s">
        <v>35</v>
      </c>
      <c r="H557" t="s">
        <v>37</v>
      </c>
      <c r="I557" t="s">
        <v>35</v>
      </c>
      <c r="J557" t="s">
        <v>35</v>
      </c>
      <c r="K557" t="s">
        <v>37</v>
      </c>
      <c r="L557" t="s">
        <v>35</v>
      </c>
      <c r="M557" t="s">
        <v>37</v>
      </c>
      <c r="N557" t="s">
        <v>35</v>
      </c>
      <c r="O557" t="str">
        <f t="shared" si="18"/>
        <v>True</v>
      </c>
      <c r="P557" s="3">
        <v>130920.9642551174</v>
      </c>
      <c r="Q557" s="3">
        <v>0</v>
      </c>
      <c r="R557" s="3">
        <v>0</v>
      </c>
      <c r="S557" s="3">
        <v>5363.5578864925164</v>
      </c>
      <c r="T557" s="3">
        <v>2922.2098523566592</v>
      </c>
      <c r="U557">
        <v>9.4298318248034405E-2</v>
      </c>
      <c r="V557" s="3">
        <v>-72476.767207984216</v>
      </c>
      <c r="W557">
        <v>44.802040534335433</v>
      </c>
      <c r="X557">
        <v>1.790118601744439</v>
      </c>
      <c r="Y557">
        <v>0.97530451346081959</v>
      </c>
      <c r="Z557" s="5">
        <v>0.3526782242103409</v>
      </c>
      <c r="AA557">
        <v>6.5332795684103626</v>
      </c>
      <c r="AB557">
        <v>22.659729136005559</v>
      </c>
      <c r="AC557">
        <v>12.345626752668609</v>
      </c>
      <c r="AD557" s="5">
        <v>0.35267822421034101</v>
      </c>
      <c r="AE557">
        <v>82.699741372283071</v>
      </c>
      <c r="AF557">
        <v>45.057031944046017</v>
      </c>
      <c r="AG557">
        <v>3.559505523579638</v>
      </c>
      <c r="AH557" t="str">
        <f t="shared" si="17"/>
        <v>False</v>
      </c>
      <c r="AI557">
        <v>2</v>
      </c>
    </row>
    <row r="558" spans="1:35" x14ac:dyDescent="0.35">
      <c r="A558" t="s">
        <v>656</v>
      </c>
      <c r="B558" t="s">
        <v>643</v>
      </c>
      <c r="C558" t="s">
        <v>465</v>
      </c>
      <c r="D558" t="s">
        <v>39</v>
      </c>
      <c r="E558" t="s">
        <v>77</v>
      </c>
      <c r="F558" t="s">
        <v>39</v>
      </c>
      <c r="G558" t="s">
        <v>37</v>
      </c>
      <c r="H558" t="s">
        <v>35</v>
      </c>
      <c r="I558" t="s">
        <v>37</v>
      </c>
      <c r="J558" t="s">
        <v>35</v>
      </c>
      <c r="K558" t="s">
        <v>37</v>
      </c>
      <c r="L558" t="s">
        <v>35</v>
      </c>
      <c r="M558" t="s">
        <v>37</v>
      </c>
      <c r="N558" t="s">
        <v>35</v>
      </c>
      <c r="O558" t="str">
        <f t="shared" si="18"/>
        <v>True</v>
      </c>
      <c r="P558" s="3">
        <v>191635.7398740162</v>
      </c>
      <c r="Q558" s="3">
        <v>0</v>
      </c>
      <c r="R558" s="3">
        <v>0</v>
      </c>
      <c r="S558" s="3">
        <v>4130.3020725844344</v>
      </c>
      <c r="T558" s="3">
        <v>4155.4656662647412</v>
      </c>
      <c r="U558">
        <v>9.16104323291346E-2</v>
      </c>
      <c r="V558" s="3">
        <v>-108526.4265487214</v>
      </c>
      <c r="W558">
        <v>46.11654992839189</v>
      </c>
      <c r="X558">
        <v>1.378512309819055</v>
      </c>
      <c r="Y558">
        <v>1.386910805386204</v>
      </c>
      <c r="Z558" s="5">
        <v>0.501518482925989</v>
      </c>
      <c r="AA558">
        <v>5.0310668241571346</v>
      </c>
      <c r="AB558">
        <v>17.449522909101962</v>
      </c>
      <c r="AC558">
        <v>17.555832979572209</v>
      </c>
      <c r="AD558" s="5">
        <v>0.501518482925989</v>
      </c>
      <c r="AE558">
        <v>63.684390179204243</v>
      </c>
      <c r="AF558">
        <v>64.072383137124845</v>
      </c>
      <c r="AG558">
        <v>5.061718267832866</v>
      </c>
      <c r="AH558" t="str">
        <f t="shared" si="17"/>
        <v>True</v>
      </c>
      <c r="AI558">
        <v>2</v>
      </c>
    </row>
    <row r="559" spans="1:35" x14ac:dyDescent="0.35">
      <c r="A559" t="s">
        <v>657</v>
      </c>
      <c r="B559" t="s">
        <v>643</v>
      </c>
      <c r="C559" t="s">
        <v>465</v>
      </c>
      <c r="D559" t="s">
        <v>39</v>
      </c>
      <c r="E559" t="s">
        <v>52</v>
      </c>
      <c r="F559" t="s">
        <v>39</v>
      </c>
      <c r="G559" t="s">
        <v>37</v>
      </c>
      <c r="H559" t="s">
        <v>35</v>
      </c>
      <c r="I559" t="s">
        <v>35</v>
      </c>
      <c r="J559" t="s">
        <v>37</v>
      </c>
      <c r="K559" t="s">
        <v>35</v>
      </c>
      <c r="L559" t="s">
        <v>35</v>
      </c>
      <c r="M559" t="s">
        <v>37</v>
      </c>
      <c r="N559" t="s">
        <v>35</v>
      </c>
      <c r="O559" t="str">
        <f t="shared" si="18"/>
        <v>True</v>
      </c>
      <c r="P559" s="3">
        <v>167118.0404763979</v>
      </c>
      <c r="Q559" s="3">
        <v>0</v>
      </c>
      <c r="R559" s="3">
        <v>0</v>
      </c>
      <c r="S559" s="3">
        <v>4847.8648656023388</v>
      </c>
      <c r="T559" s="3">
        <v>3437.902873246836</v>
      </c>
      <c r="U559">
        <v>8.6910452339888797E-2</v>
      </c>
      <c r="V559" s="3">
        <v>-98359.983011461154</v>
      </c>
      <c r="W559">
        <v>48.610460108364762</v>
      </c>
      <c r="X559">
        <v>1.6180030603404509</v>
      </c>
      <c r="Y559">
        <v>1.1474200548648079</v>
      </c>
      <c r="Z559" s="5">
        <v>0.41491663556144198</v>
      </c>
      <c r="AA559">
        <v>5.9051206581768279</v>
      </c>
      <c r="AB559">
        <v>20.48105139671457</v>
      </c>
      <c r="AC559">
        <v>14.524304491959599</v>
      </c>
      <c r="AD559" s="5">
        <v>0.41491663556144198</v>
      </c>
      <c r="AE559">
        <v>74.748362761732011</v>
      </c>
      <c r="AF559">
        <v>53.00841055459707</v>
      </c>
      <c r="AG559">
        <v>4.1876644338131728</v>
      </c>
      <c r="AH559" t="str">
        <f t="shared" si="17"/>
        <v>True</v>
      </c>
      <c r="AI559">
        <v>1</v>
      </c>
    </row>
    <row r="560" spans="1:35" x14ac:dyDescent="0.35">
      <c r="A560" t="s">
        <v>658</v>
      </c>
      <c r="B560" t="s">
        <v>643</v>
      </c>
      <c r="C560" t="s">
        <v>465</v>
      </c>
      <c r="D560" t="s">
        <v>39</v>
      </c>
      <c r="E560" t="s">
        <v>52</v>
      </c>
      <c r="F560" t="s">
        <v>39</v>
      </c>
      <c r="G560" t="s">
        <v>35</v>
      </c>
      <c r="H560" t="s">
        <v>37</v>
      </c>
      <c r="I560" t="s">
        <v>37</v>
      </c>
      <c r="J560" t="s">
        <v>35</v>
      </c>
      <c r="K560" t="s">
        <v>35</v>
      </c>
      <c r="L560" t="s">
        <v>35</v>
      </c>
      <c r="M560" t="s">
        <v>37</v>
      </c>
      <c r="N560" t="s">
        <v>35</v>
      </c>
      <c r="O560" t="str">
        <f t="shared" si="18"/>
        <v>True</v>
      </c>
      <c r="P560" s="3">
        <v>167367.9849616735</v>
      </c>
      <c r="Q560" s="3">
        <v>0</v>
      </c>
      <c r="R560" s="3">
        <v>0</v>
      </c>
      <c r="S560" s="3">
        <v>4867.1328669426666</v>
      </c>
      <c r="T560" s="3">
        <v>3418.6348719065081</v>
      </c>
      <c r="U560">
        <v>8.6294292604735603E-2</v>
      </c>
      <c r="V560" s="3">
        <v>-98995.28752354336</v>
      </c>
      <c r="W560">
        <v>48.957549206866773</v>
      </c>
      <c r="X560">
        <v>1.624433867716395</v>
      </c>
      <c r="Y560">
        <v>1.1409892474888641</v>
      </c>
      <c r="Z560" s="5">
        <v>0.41259120212574618</v>
      </c>
      <c r="AA560">
        <v>5.928590758089034</v>
      </c>
      <c r="AB560">
        <v>20.56245402172652</v>
      </c>
      <c r="AC560">
        <v>14.442901866947651</v>
      </c>
      <c r="AD560" s="5">
        <v>0.41259120212574629</v>
      </c>
      <c r="AE560">
        <v>75.045452634038398</v>
      </c>
      <c r="AF560">
        <v>52.711320682290683</v>
      </c>
      <c r="AG560">
        <v>4.1641943339009666</v>
      </c>
      <c r="AH560" t="str">
        <f t="shared" si="17"/>
        <v>True</v>
      </c>
      <c r="AI560">
        <v>1</v>
      </c>
    </row>
    <row r="561" spans="1:35" x14ac:dyDescent="0.35">
      <c r="A561" t="s">
        <v>659</v>
      </c>
      <c r="B561" t="s">
        <v>660</v>
      </c>
      <c r="C561" t="s">
        <v>33</v>
      </c>
      <c r="D561" t="s">
        <v>283</v>
      </c>
      <c r="E561" t="s">
        <v>39</v>
      </c>
      <c r="F561" t="s">
        <v>283</v>
      </c>
      <c r="G561" t="s">
        <v>35</v>
      </c>
      <c r="H561" t="s">
        <v>35</v>
      </c>
      <c r="I561" t="s">
        <v>35</v>
      </c>
      <c r="J561" t="s">
        <v>35</v>
      </c>
      <c r="K561" t="s">
        <v>35</v>
      </c>
      <c r="L561" t="s">
        <v>35</v>
      </c>
      <c r="M561" t="s">
        <v>35</v>
      </c>
      <c r="N561" t="s">
        <v>35</v>
      </c>
      <c r="O561" t="str">
        <f t="shared" si="18"/>
        <v>False</v>
      </c>
      <c r="P561" s="3">
        <v>0</v>
      </c>
      <c r="Q561" s="3">
        <v>0</v>
      </c>
      <c r="R561" s="3">
        <v>0</v>
      </c>
      <c r="S561" s="3">
        <v>5836.8025337784329</v>
      </c>
      <c r="T561" s="3">
        <v>0</v>
      </c>
      <c r="U561">
        <v>0</v>
      </c>
      <c r="V561" s="3">
        <v>0</v>
      </c>
      <c r="W561">
        <v>0</v>
      </c>
      <c r="X561">
        <v>1.9480667518736641</v>
      </c>
      <c r="Y561">
        <v>2.2204460492503131E-16</v>
      </c>
      <c r="Z561" s="5">
        <v>1.139820310117542E-16</v>
      </c>
      <c r="AA561">
        <v>10.822593065964799</v>
      </c>
      <c r="AB561">
        <v>24.659072808527391</v>
      </c>
      <c r="AC561">
        <v>0</v>
      </c>
      <c r="AD561" s="5">
        <v>0</v>
      </c>
      <c r="AE561">
        <v>136.99484893626331</v>
      </c>
      <c r="AF561">
        <v>0</v>
      </c>
      <c r="AG561">
        <v>0</v>
      </c>
      <c r="AH561" t="str">
        <f t="shared" si="17"/>
        <v>False</v>
      </c>
      <c r="AI561">
        <v>0</v>
      </c>
    </row>
    <row r="562" spans="1:35" x14ac:dyDescent="0.35">
      <c r="A562" t="s">
        <v>661</v>
      </c>
      <c r="B562" t="s">
        <v>660</v>
      </c>
      <c r="C562" t="s">
        <v>33</v>
      </c>
      <c r="D562" t="s">
        <v>283</v>
      </c>
      <c r="E562" t="s">
        <v>52</v>
      </c>
      <c r="F562" t="s">
        <v>283</v>
      </c>
      <c r="G562" t="s">
        <v>37</v>
      </c>
      <c r="H562" t="s">
        <v>35</v>
      </c>
      <c r="I562" t="s">
        <v>35</v>
      </c>
      <c r="J562" t="s">
        <v>35</v>
      </c>
      <c r="K562" t="s">
        <v>35</v>
      </c>
      <c r="L562" t="s">
        <v>35</v>
      </c>
      <c r="M562" t="s">
        <v>35</v>
      </c>
      <c r="N562" t="s">
        <v>35</v>
      </c>
      <c r="O562" t="str">
        <f t="shared" si="18"/>
        <v>False</v>
      </c>
      <c r="P562" s="3">
        <v>14190.45333421175</v>
      </c>
      <c r="Q562" s="3">
        <v>0</v>
      </c>
      <c r="R562" s="3">
        <v>0</v>
      </c>
      <c r="S562" s="3">
        <v>5173.4228189334444</v>
      </c>
      <c r="T562" s="3">
        <v>663.37971484498905</v>
      </c>
      <c r="U562">
        <v>0.19750025447882841</v>
      </c>
      <c r="V562" s="3">
        <v>-922.85903731196959</v>
      </c>
      <c r="W562">
        <v>21.39114750822252</v>
      </c>
      <c r="X562">
        <v>1.7266599184442</v>
      </c>
      <c r="Y562">
        <v>0.22140683342946429</v>
      </c>
      <c r="Z562" s="5">
        <v>0.1136546441319394</v>
      </c>
      <c r="AA562">
        <v>9.5925551024677755</v>
      </c>
      <c r="AB562">
        <v>21.856454663850631</v>
      </c>
      <c r="AC562">
        <v>2.8026181446767602</v>
      </c>
      <c r="AD562" s="5">
        <v>0.11365464413193919</v>
      </c>
      <c r="AE562">
        <v>121.4247481325035</v>
      </c>
      <c r="AF562">
        <v>15.570100803759781</v>
      </c>
      <c r="AG562">
        <v>1.230037963497022</v>
      </c>
      <c r="AH562" t="str">
        <f t="shared" si="17"/>
        <v>True</v>
      </c>
      <c r="AI562">
        <v>1</v>
      </c>
    </row>
    <row r="563" spans="1:35" x14ac:dyDescent="0.35">
      <c r="A563" t="s">
        <v>662</v>
      </c>
      <c r="B563" t="s">
        <v>660</v>
      </c>
      <c r="C563" t="s">
        <v>33</v>
      </c>
      <c r="D563" t="s">
        <v>34</v>
      </c>
      <c r="E563" t="s">
        <v>52</v>
      </c>
      <c r="F563" t="s">
        <v>34</v>
      </c>
      <c r="G563" t="s">
        <v>37</v>
      </c>
      <c r="H563" t="s">
        <v>35</v>
      </c>
      <c r="I563" t="s">
        <v>35</v>
      </c>
      <c r="J563" t="s">
        <v>35</v>
      </c>
      <c r="K563" t="s">
        <v>37</v>
      </c>
      <c r="L563" t="s">
        <v>35</v>
      </c>
      <c r="M563" t="s">
        <v>35</v>
      </c>
      <c r="N563" t="s">
        <v>35</v>
      </c>
      <c r="O563" t="str">
        <f t="shared" si="18"/>
        <v>True</v>
      </c>
      <c r="P563" s="3">
        <v>30623.525904986829</v>
      </c>
      <c r="Q563" s="3">
        <v>0</v>
      </c>
      <c r="R563" s="3">
        <v>0</v>
      </c>
      <c r="S563" s="3">
        <v>4953.790672731121</v>
      </c>
      <c r="T563" s="3">
        <v>883.01186104731232</v>
      </c>
      <c r="U563">
        <v>0.1218184548748325</v>
      </c>
      <c r="V563" s="3">
        <v>-12963.288684040581</v>
      </c>
      <c r="W563">
        <v>34.680763935226459</v>
      </c>
      <c r="X563">
        <v>1.6533564137970369</v>
      </c>
      <c r="Y563">
        <v>0.29471033807662739</v>
      </c>
      <c r="Z563" s="5">
        <v>0.151283490564773</v>
      </c>
      <c r="AA563">
        <v>9.1853134099835376</v>
      </c>
      <c r="AB563">
        <v>20.928562199962489</v>
      </c>
      <c r="AC563">
        <v>3.7305106085649018</v>
      </c>
      <c r="AD563" s="5">
        <v>0.15128349056477289</v>
      </c>
      <c r="AE563">
        <v>116.2697899997916</v>
      </c>
      <c r="AF563">
        <v>20.72505893647168</v>
      </c>
      <c r="AG563">
        <v>1.6372796559812619</v>
      </c>
      <c r="AH563" t="str">
        <f t="shared" si="17"/>
        <v>True</v>
      </c>
      <c r="AI563">
        <v>1</v>
      </c>
    </row>
    <row r="564" spans="1:35" x14ac:dyDescent="0.35">
      <c r="A564" t="s">
        <v>663</v>
      </c>
      <c r="B564" t="s">
        <v>660</v>
      </c>
      <c r="C564" t="s">
        <v>33</v>
      </c>
      <c r="D564" t="s">
        <v>34</v>
      </c>
      <c r="E564" t="s">
        <v>52</v>
      </c>
      <c r="F564" t="s">
        <v>34</v>
      </c>
      <c r="G564" t="s">
        <v>37</v>
      </c>
      <c r="H564" t="s">
        <v>35</v>
      </c>
      <c r="I564" t="s">
        <v>35</v>
      </c>
      <c r="J564" t="s">
        <v>35</v>
      </c>
      <c r="K564" t="s">
        <v>35</v>
      </c>
      <c r="L564" t="s">
        <v>37</v>
      </c>
      <c r="M564" t="s">
        <v>35</v>
      </c>
      <c r="N564" t="s">
        <v>35</v>
      </c>
      <c r="O564" t="str">
        <f t="shared" si="18"/>
        <v>True</v>
      </c>
      <c r="P564" s="3">
        <v>57840.802350333033</v>
      </c>
      <c r="Q564" s="3">
        <v>0</v>
      </c>
      <c r="R564" s="3">
        <v>0</v>
      </c>
      <c r="S564" s="3">
        <v>4502.7972757419402</v>
      </c>
      <c r="T564" s="3">
        <v>1334.0052580364929</v>
      </c>
      <c r="U564">
        <v>9.7437240233976097E-2</v>
      </c>
      <c r="V564" s="3">
        <v>-31160.697189603179</v>
      </c>
      <c r="W564">
        <v>43.358751400626588</v>
      </c>
      <c r="X564">
        <v>1.502834747712773</v>
      </c>
      <c r="Y564">
        <v>0.44523200416089131</v>
      </c>
      <c r="Z564" s="5">
        <v>0.22855069197842631</v>
      </c>
      <c r="AA564">
        <v>8.3490819317376275</v>
      </c>
      <c r="AB564">
        <v>19.02322465459206</v>
      </c>
      <c r="AC564">
        <v>5.6358481539353313</v>
      </c>
      <c r="AD564" s="5">
        <v>0.22855069197842631</v>
      </c>
      <c r="AE564">
        <v>105.6845814144003</v>
      </c>
      <c r="AF564">
        <v>31.310267521862951</v>
      </c>
      <c r="AG564">
        <v>2.4735111342271718</v>
      </c>
      <c r="AH564" t="str">
        <f t="shared" si="17"/>
        <v>True</v>
      </c>
      <c r="AI564">
        <v>1</v>
      </c>
    </row>
    <row r="565" spans="1:35" x14ac:dyDescent="0.35">
      <c r="A565" t="s">
        <v>664</v>
      </c>
      <c r="B565" t="s">
        <v>660</v>
      </c>
      <c r="C565" t="s">
        <v>33</v>
      </c>
      <c r="D565" t="s">
        <v>34</v>
      </c>
      <c r="E565" t="s">
        <v>52</v>
      </c>
      <c r="F565" t="s">
        <v>34</v>
      </c>
      <c r="G565" t="s">
        <v>37</v>
      </c>
      <c r="H565" t="s">
        <v>35</v>
      </c>
      <c r="I565" t="s">
        <v>35</v>
      </c>
      <c r="J565" t="s">
        <v>35</v>
      </c>
      <c r="K565" t="s">
        <v>37</v>
      </c>
      <c r="L565" t="s">
        <v>37</v>
      </c>
      <c r="M565" t="s">
        <v>35</v>
      </c>
      <c r="N565" t="s">
        <v>35</v>
      </c>
      <c r="O565" t="str">
        <f t="shared" si="18"/>
        <v>True</v>
      </c>
      <c r="P565" s="3">
        <v>74273.874921108101</v>
      </c>
      <c r="Q565" s="3">
        <v>0</v>
      </c>
      <c r="R565" s="3">
        <v>0</v>
      </c>
      <c r="S565" s="3">
        <v>4272.053389336601</v>
      </c>
      <c r="T565" s="3">
        <v>1564.749144441832</v>
      </c>
      <c r="U565">
        <v>8.9004175800707103E-2</v>
      </c>
      <c r="V565" s="3">
        <v>-42978.892032271448</v>
      </c>
      <c r="W565">
        <v>47.466953527303332</v>
      </c>
      <c r="X565">
        <v>1.4258226352242991</v>
      </c>
      <c r="Y565">
        <v>0.52224411664936543</v>
      </c>
      <c r="Z565" s="5">
        <v>0.26808327596940268</v>
      </c>
      <c r="AA565">
        <v>7.9212368623572136</v>
      </c>
      <c r="AB565">
        <v>18.04838778764935</v>
      </c>
      <c r="AC565">
        <v>6.6106850208780408</v>
      </c>
      <c r="AD565" s="5">
        <v>0.26808327596940262</v>
      </c>
      <c r="AE565">
        <v>100.2688210424964</v>
      </c>
      <c r="AF565">
        <v>36.72602789376689</v>
      </c>
      <c r="AG565">
        <v>2.9013562036075848</v>
      </c>
      <c r="AH565" t="str">
        <f t="shared" si="17"/>
        <v>True</v>
      </c>
      <c r="AI565">
        <v>1</v>
      </c>
    </row>
    <row r="566" spans="1:35" x14ac:dyDescent="0.35">
      <c r="A566" t="s">
        <v>665</v>
      </c>
      <c r="B566" t="s">
        <v>660</v>
      </c>
      <c r="C566" t="s">
        <v>33</v>
      </c>
      <c r="D566" t="s">
        <v>283</v>
      </c>
      <c r="E566" t="s">
        <v>52</v>
      </c>
      <c r="F566" t="s">
        <v>283</v>
      </c>
      <c r="G566" t="s">
        <v>35</v>
      </c>
      <c r="H566" t="s">
        <v>35</v>
      </c>
      <c r="I566" t="s">
        <v>35</v>
      </c>
      <c r="J566" t="s">
        <v>35</v>
      </c>
      <c r="K566" t="s">
        <v>35</v>
      </c>
      <c r="L566" t="s">
        <v>37</v>
      </c>
      <c r="M566" t="s">
        <v>35</v>
      </c>
      <c r="N566" t="s">
        <v>35</v>
      </c>
      <c r="O566" t="str">
        <f t="shared" si="18"/>
        <v>False</v>
      </c>
      <c r="P566" s="3">
        <v>43650.349016121283</v>
      </c>
      <c r="Q566" s="3">
        <v>0</v>
      </c>
      <c r="R566" s="3">
        <v>0</v>
      </c>
      <c r="S566" s="3">
        <v>5144.9156475337559</v>
      </c>
      <c r="T566" s="3">
        <v>691.88688624467693</v>
      </c>
      <c r="U566">
        <v>6.6965192367605397E-2</v>
      </c>
      <c r="V566" s="3">
        <v>-29812.611291227749</v>
      </c>
      <c r="W566">
        <v>63.088851492821753</v>
      </c>
      <c r="X566">
        <v>1.717145484390227</v>
      </c>
      <c r="Y566">
        <v>0.23092126748343689</v>
      </c>
      <c r="Z566" s="5">
        <v>0.1185386831643912</v>
      </c>
      <c r="AA566">
        <v>9.5396971355012621</v>
      </c>
      <c r="AB566">
        <v>21.736018789749711</v>
      </c>
      <c r="AC566">
        <v>2.9230540187776799</v>
      </c>
      <c r="AD566" s="5">
        <v>0.1185386831643911</v>
      </c>
      <c r="AE566">
        <v>120.7556599430539</v>
      </c>
      <c r="AF566">
        <v>16.239188993209339</v>
      </c>
      <c r="AG566">
        <v>1.282895930463537</v>
      </c>
      <c r="AH566" t="str">
        <f t="shared" si="17"/>
        <v>False</v>
      </c>
      <c r="AI566">
        <v>1</v>
      </c>
    </row>
    <row r="567" spans="1:35" x14ac:dyDescent="0.35">
      <c r="A567" t="s">
        <v>666</v>
      </c>
      <c r="B567" t="s">
        <v>660</v>
      </c>
      <c r="C567" t="s">
        <v>33</v>
      </c>
      <c r="D567" t="s">
        <v>34</v>
      </c>
      <c r="E567" t="s">
        <v>52</v>
      </c>
      <c r="F567" t="s">
        <v>34</v>
      </c>
      <c r="G567" t="s">
        <v>35</v>
      </c>
      <c r="H567" t="s">
        <v>35</v>
      </c>
      <c r="I567" t="s">
        <v>35</v>
      </c>
      <c r="J567" t="s">
        <v>35</v>
      </c>
      <c r="K567" t="s">
        <v>37</v>
      </c>
      <c r="L567" t="s">
        <v>37</v>
      </c>
      <c r="M567" t="s">
        <v>35</v>
      </c>
      <c r="N567" t="s">
        <v>35</v>
      </c>
      <c r="O567" t="str">
        <f t="shared" si="18"/>
        <v>True</v>
      </c>
      <c r="P567" s="3">
        <v>60083.421586896351</v>
      </c>
      <c r="Q567" s="3">
        <v>0</v>
      </c>
      <c r="R567" s="3">
        <v>0</v>
      </c>
      <c r="S567" s="3">
        <v>4919.5721285419067</v>
      </c>
      <c r="T567" s="3">
        <v>917.23040523652605</v>
      </c>
      <c r="U567">
        <v>6.4494922940937102E-2</v>
      </c>
      <c r="V567" s="3">
        <v>-41738.813482165831</v>
      </c>
      <c r="W567">
        <v>65.5052659003412</v>
      </c>
      <c r="X567">
        <v>1.641935775896961</v>
      </c>
      <c r="Y567">
        <v>0.30613097597670302</v>
      </c>
      <c r="Z567" s="5">
        <v>0.15714604013556729</v>
      </c>
      <c r="AA567">
        <v>9.1218654216497832</v>
      </c>
      <c r="AB567">
        <v>20.783997163252671</v>
      </c>
      <c r="AC567">
        <v>3.8750756452747201</v>
      </c>
      <c r="AD567" s="5">
        <v>0.15714604013556721</v>
      </c>
      <c r="AE567">
        <v>115.4666509069593</v>
      </c>
      <c r="AF567">
        <v>21.528198029304001</v>
      </c>
      <c r="AG567">
        <v>1.7007276443150161</v>
      </c>
      <c r="AH567" t="str">
        <f t="shared" si="17"/>
        <v>False</v>
      </c>
      <c r="AI567">
        <v>1</v>
      </c>
    </row>
    <row r="568" spans="1:35" x14ac:dyDescent="0.35">
      <c r="A568" t="s">
        <v>667</v>
      </c>
      <c r="B568" t="s">
        <v>660</v>
      </c>
      <c r="C568" t="s">
        <v>33</v>
      </c>
      <c r="D568" t="s">
        <v>34</v>
      </c>
      <c r="E568" t="s">
        <v>52</v>
      </c>
      <c r="F568" t="s">
        <v>34</v>
      </c>
      <c r="G568" t="s">
        <v>37</v>
      </c>
      <c r="H568" t="s">
        <v>35</v>
      </c>
      <c r="I568" t="s">
        <v>37</v>
      </c>
      <c r="J568" t="s">
        <v>35</v>
      </c>
      <c r="K568" t="s">
        <v>37</v>
      </c>
      <c r="L568" t="s">
        <v>37</v>
      </c>
      <c r="M568" t="s">
        <v>35</v>
      </c>
      <c r="N568" t="s">
        <v>35</v>
      </c>
      <c r="O568" t="str">
        <f t="shared" si="18"/>
        <v>True</v>
      </c>
      <c r="P568" s="3">
        <v>163471.0101647249</v>
      </c>
      <c r="Q568" s="3">
        <v>0</v>
      </c>
      <c r="R568" s="3">
        <v>0</v>
      </c>
      <c r="S568" s="3">
        <v>3658.9508700392789</v>
      </c>
      <c r="T568" s="3">
        <v>2177.851663739154</v>
      </c>
      <c r="U568">
        <v>5.6284562128834599E-2</v>
      </c>
      <c r="V568" s="3">
        <v>-119913.9768899418</v>
      </c>
      <c r="W568">
        <v>75.060672352708139</v>
      </c>
      <c r="X568">
        <v>1.221196107871158</v>
      </c>
      <c r="Y568">
        <v>0.72687064400250612</v>
      </c>
      <c r="Z568" s="5">
        <v>0.37312409510782768</v>
      </c>
      <c r="AA568">
        <v>6.7844228215064328</v>
      </c>
      <c r="AB568">
        <v>15.458178580647569</v>
      </c>
      <c r="AC568">
        <v>9.2008942278798216</v>
      </c>
      <c r="AD568" s="5">
        <v>0.37312409510782768</v>
      </c>
      <c r="AE568">
        <v>85.878769892486488</v>
      </c>
      <c r="AF568">
        <v>51.116079043776793</v>
      </c>
      <c r="AG568">
        <v>4.0381702444583656</v>
      </c>
      <c r="AH568" t="str">
        <f t="shared" si="17"/>
        <v>True</v>
      </c>
      <c r="AI568">
        <v>1</v>
      </c>
    </row>
    <row r="569" spans="1:35" x14ac:dyDescent="0.35">
      <c r="A569" t="s">
        <v>668</v>
      </c>
      <c r="B569" t="s">
        <v>660</v>
      </c>
      <c r="C569" t="s">
        <v>33</v>
      </c>
      <c r="D569" t="s">
        <v>283</v>
      </c>
      <c r="E569" t="s">
        <v>52</v>
      </c>
      <c r="F569" t="s">
        <v>283</v>
      </c>
      <c r="G569" t="s">
        <v>35</v>
      </c>
      <c r="H569" t="s">
        <v>35</v>
      </c>
      <c r="I569" t="s">
        <v>35</v>
      </c>
      <c r="J569" t="s">
        <v>35</v>
      </c>
      <c r="K569" t="s">
        <v>37</v>
      </c>
      <c r="L569" t="s">
        <v>35</v>
      </c>
      <c r="M569" t="s">
        <v>35</v>
      </c>
      <c r="N569" t="s">
        <v>35</v>
      </c>
      <c r="O569" t="str">
        <f t="shared" si="18"/>
        <v>False</v>
      </c>
      <c r="P569" s="3">
        <v>16433.072570775072</v>
      </c>
      <c r="Q569" s="3">
        <v>0</v>
      </c>
      <c r="R569" s="3">
        <v>0</v>
      </c>
      <c r="S569" s="3">
        <v>5618.2642870699392</v>
      </c>
      <c r="T569" s="3">
        <v>218.5382467084938</v>
      </c>
      <c r="U569">
        <v>5.6183711249629897E-2</v>
      </c>
      <c r="V569" s="3">
        <v>-12062.307636605199</v>
      </c>
      <c r="W569">
        <v>75.195407752561493</v>
      </c>
      <c r="X569">
        <v>1.8751283425370731</v>
      </c>
      <c r="Y569">
        <v>7.2938409336590695E-2</v>
      </c>
      <c r="Z569" s="5">
        <v>3.7441432264288699E-2</v>
      </c>
      <c r="AA569">
        <v>10.41737968076152</v>
      </c>
      <c r="AB569">
        <v>23.73580180426675</v>
      </c>
      <c r="AC569">
        <v>0.92327100426064124</v>
      </c>
      <c r="AD569" s="5">
        <v>3.7441432264288602E-2</v>
      </c>
      <c r="AE569">
        <v>131.86556557925971</v>
      </c>
      <c r="AF569">
        <v>5.1292833570035627</v>
      </c>
      <c r="AG569">
        <v>0.40521338520328237</v>
      </c>
      <c r="AH569" t="str">
        <f t="shared" si="17"/>
        <v>False</v>
      </c>
      <c r="AI569">
        <v>1</v>
      </c>
    </row>
    <row r="570" spans="1:35" x14ac:dyDescent="0.35">
      <c r="A570" t="s">
        <v>669</v>
      </c>
      <c r="B570" t="s">
        <v>660</v>
      </c>
      <c r="C570" t="s">
        <v>33</v>
      </c>
      <c r="D570" t="s">
        <v>34</v>
      </c>
      <c r="E570" t="s">
        <v>52</v>
      </c>
      <c r="F570" t="s">
        <v>34</v>
      </c>
      <c r="G570" t="s">
        <v>37</v>
      </c>
      <c r="H570" t="s">
        <v>35</v>
      </c>
      <c r="I570" t="s">
        <v>37</v>
      </c>
      <c r="J570" t="s">
        <v>35</v>
      </c>
      <c r="K570" t="s">
        <v>35</v>
      </c>
      <c r="L570" t="s">
        <v>37</v>
      </c>
      <c r="M570" t="s">
        <v>35</v>
      </c>
      <c r="N570" t="s">
        <v>35</v>
      </c>
      <c r="O570" t="str">
        <f t="shared" si="18"/>
        <v>True</v>
      </c>
      <c r="P570" s="3">
        <v>147037.93759394981</v>
      </c>
      <c r="Q570" s="3">
        <v>0</v>
      </c>
      <c r="R570" s="3">
        <v>0</v>
      </c>
      <c r="S570" s="3">
        <v>3902.602202388337</v>
      </c>
      <c r="T570" s="3">
        <v>1934.2003313900971</v>
      </c>
      <c r="U570">
        <v>5.5574273354630402E-2</v>
      </c>
      <c r="V570" s="3">
        <v>-108353.93096614791</v>
      </c>
      <c r="W570">
        <v>76.020014683936395</v>
      </c>
      <c r="X570">
        <v>1.3025161554232301</v>
      </c>
      <c r="Y570">
        <v>0.64555059645043378</v>
      </c>
      <c r="Z570" s="5">
        <v>0.33138012125587518</v>
      </c>
      <c r="AA570">
        <v>7.2362008634623898</v>
      </c>
      <c r="AB570">
        <v>16.487546271180129</v>
      </c>
      <c r="AC570">
        <v>8.1715265373472619</v>
      </c>
      <c r="AD570" s="5">
        <v>0.33138012125587518</v>
      </c>
      <c r="AE570">
        <v>91.597479284334057</v>
      </c>
      <c r="AF570">
        <v>45.397369651929232</v>
      </c>
      <c r="AG570">
        <v>3.58639220250241</v>
      </c>
      <c r="AH570" t="str">
        <f t="shared" si="17"/>
        <v>True</v>
      </c>
      <c r="AI570">
        <v>1</v>
      </c>
    </row>
    <row r="571" spans="1:35" x14ac:dyDescent="0.35">
      <c r="A571" t="s">
        <v>670</v>
      </c>
      <c r="B571" t="s">
        <v>660</v>
      </c>
      <c r="C571" t="s">
        <v>33</v>
      </c>
      <c r="D571" t="s">
        <v>34</v>
      </c>
      <c r="E571" t="s">
        <v>52</v>
      </c>
      <c r="F571" t="s">
        <v>34</v>
      </c>
      <c r="G571" t="s">
        <v>37</v>
      </c>
      <c r="H571" t="s">
        <v>35</v>
      </c>
      <c r="I571" t="s">
        <v>37</v>
      </c>
      <c r="J571" t="s">
        <v>35</v>
      </c>
      <c r="K571" t="s">
        <v>37</v>
      </c>
      <c r="L571" t="s">
        <v>35</v>
      </c>
      <c r="M571" t="s">
        <v>35</v>
      </c>
      <c r="N571" t="s">
        <v>35</v>
      </c>
      <c r="O571" t="str">
        <f t="shared" si="18"/>
        <v>True</v>
      </c>
      <c r="P571" s="3">
        <v>119820.6611486036</v>
      </c>
      <c r="Q571" s="3">
        <v>0</v>
      </c>
      <c r="R571" s="3">
        <v>0</v>
      </c>
      <c r="S571" s="3">
        <v>4336.6223383977886</v>
      </c>
      <c r="T571" s="3">
        <v>1500.180195380645</v>
      </c>
      <c r="U571">
        <v>5.2894858329577299E-2</v>
      </c>
      <c r="V571" s="3">
        <v>-89817.057240990689</v>
      </c>
      <c r="W571">
        <v>79.870845860754187</v>
      </c>
      <c r="X571">
        <v>1.4473728970571409</v>
      </c>
      <c r="Y571">
        <v>0.50069385481652295</v>
      </c>
      <c r="Z571" s="5">
        <v>0.25702089229486208</v>
      </c>
      <c r="AA571">
        <v>8.0409605392063384</v>
      </c>
      <c r="AB571">
        <v>18.321175912115709</v>
      </c>
      <c r="AC571">
        <v>6.3378968964116824</v>
      </c>
      <c r="AD571" s="5">
        <v>0.25702089229486208</v>
      </c>
      <c r="AE571">
        <v>101.78431062286499</v>
      </c>
      <c r="AF571">
        <v>35.210538313398231</v>
      </c>
      <c r="AG571">
        <v>2.781632526758461</v>
      </c>
      <c r="AH571" t="str">
        <f t="shared" si="17"/>
        <v>True</v>
      </c>
      <c r="AI571">
        <v>1</v>
      </c>
    </row>
    <row r="572" spans="1:35" x14ac:dyDescent="0.35">
      <c r="A572" t="s">
        <v>671</v>
      </c>
      <c r="B572" t="s">
        <v>660</v>
      </c>
      <c r="C572" t="s">
        <v>33</v>
      </c>
      <c r="D572" t="s">
        <v>34</v>
      </c>
      <c r="E572" t="s">
        <v>52</v>
      </c>
      <c r="F572" t="s">
        <v>34</v>
      </c>
      <c r="G572" t="s">
        <v>37</v>
      </c>
      <c r="H572" t="s">
        <v>35</v>
      </c>
      <c r="I572" t="s">
        <v>37</v>
      </c>
      <c r="J572" t="s">
        <v>35</v>
      </c>
      <c r="K572" t="s">
        <v>35</v>
      </c>
      <c r="L572" t="s">
        <v>35</v>
      </c>
      <c r="M572" t="s">
        <v>35</v>
      </c>
      <c r="N572" t="s">
        <v>35</v>
      </c>
      <c r="O572" t="str">
        <f t="shared" si="18"/>
        <v>True</v>
      </c>
      <c r="P572" s="3">
        <v>103387.5885778285</v>
      </c>
      <c r="Q572" s="3">
        <v>0</v>
      </c>
      <c r="R572" s="3">
        <v>0</v>
      </c>
      <c r="S572" s="3">
        <v>4567.4242232806528</v>
      </c>
      <c r="T572" s="3">
        <v>1269.3783104977799</v>
      </c>
      <c r="U572">
        <v>5.18709747829506E-2</v>
      </c>
      <c r="V572" s="3">
        <v>-78000.022367872894</v>
      </c>
      <c r="W572">
        <v>81.447420144815297</v>
      </c>
      <c r="X572">
        <v>1.5244043668744049</v>
      </c>
      <c r="Y572">
        <v>0.42366238499925929</v>
      </c>
      <c r="Z572" s="5">
        <v>0.2174783716172857</v>
      </c>
      <c r="AA572">
        <v>8.4689131493022494</v>
      </c>
      <c r="AB572">
        <v>19.296257808536769</v>
      </c>
      <c r="AC572">
        <v>5.3628149999906221</v>
      </c>
      <c r="AD572" s="5">
        <v>0.21747837161728559</v>
      </c>
      <c r="AE572">
        <v>107.20143226964871</v>
      </c>
      <c r="AF572">
        <v>29.793416666614569</v>
      </c>
      <c r="AG572">
        <v>2.3536799166625499</v>
      </c>
      <c r="AH572" t="str">
        <f t="shared" si="17"/>
        <v>True</v>
      </c>
      <c r="AI572">
        <v>1</v>
      </c>
    </row>
    <row r="573" spans="1:35" x14ac:dyDescent="0.35">
      <c r="A573" t="s">
        <v>672</v>
      </c>
      <c r="B573" t="s">
        <v>660</v>
      </c>
      <c r="C573" t="s">
        <v>33</v>
      </c>
      <c r="D573" t="s">
        <v>34</v>
      </c>
      <c r="E573" t="s">
        <v>52</v>
      </c>
      <c r="F573" t="s">
        <v>34</v>
      </c>
      <c r="G573" t="s">
        <v>35</v>
      </c>
      <c r="H573" t="s">
        <v>37</v>
      </c>
      <c r="I573" t="s">
        <v>35</v>
      </c>
      <c r="J573" t="s">
        <v>35</v>
      </c>
      <c r="K573" t="s">
        <v>37</v>
      </c>
      <c r="L573" t="s">
        <v>37</v>
      </c>
      <c r="M573" t="s">
        <v>35</v>
      </c>
      <c r="N573" t="s">
        <v>35</v>
      </c>
      <c r="O573" t="str">
        <f t="shared" si="18"/>
        <v>True</v>
      </c>
      <c r="P573" s="3">
        <v>94140.509589004563</v>
      </c>
      <c r="Q573" s="3">
        <v>0</v>
      </c>
      <c r="R573" s="3">
        <v>0</v>
      </c>
      <c r="S573" s="3">
        <v>4713.5662430981356</v>
      </c>
      <c r="T573" s="3">
        <v>1123.236290680298</v>
      </c>
      <c r="U573">
        <v>5.0407635228603198E-2</v>
      </c>
      <c r="V573" s="3">
        <v>-71675.78377539861</v>
      </c>
      <c r="W573">
        <v>83.811848290609959</v>
      </c>
      <c r="X573">
        <v>1.5731801149334721</v>
      </c>
      <c r="Y573">
        <v>0.37488663694019242</v>
      </c>
      <c r="Z573" s="5">
        <v>0.1924403445516556</v>
      </c>
      <c r="AA573">
        <v>8.7398895274081756</v>
      </c>
      <c r="AB573">
        <v>19.91367234093002</v>
      </c>
      <c r="AC573">
        <v>4.7454004675973707</v>
      </c>
      <c r="AD573" s="5">
        <v>0.19244034455165551</v>
      </c>
      <c r="AE573">
        <v>110.63151300516679</v>
      </c>
      <c r="AF573">
        <v>26.363335931096511</v>
      </c>
      <c r="AG573">
        <v>2.0827035385566242</v>
      </c>
      <c r="AH573" t="str">
        <f t="shared" si="17"/>
        <v>False</v>
      </c>
      <c r="AI573">
        <v>1</v>
      </c>
    </row>
    <row r="574" spans="1:35" x14ac:dyDescent="0.35">
      <c r="A574" t="s">
        <v>673</v>
      </c>
      <c r="B574" t="s">
        <v>660</v>
      </c>
      <c r="C574" t="s">
        <v>33</v>
      </c>
      <c r="D574" t="s">
        <v>34</v>
      </c>
      <c r="E574" t="s">
        <v>52</v>
      </c>
      <c r="F574" t="s">
        <v>34</v>
      </c>
      <c r="G574" t="s">
        <v>37</v>
      </c>
      <c r="H574" t="s">
        <v>35</v>
      </c>
      <c r="I574" t="s">
        <v>35</v>
      </c>
      <c r="J574" t="s">
        <v>37</v>
      </c>
      <c r="K574" t="s">
        <v>37</v>
      </c>
      <c r="L574" t="s">
        <v>37</v>
      </c>
      <c r="M574" t="s">
        <v>35</v>
      </c>
      <c r="N574" t="s">
        <v>35</v>
      </c>
      <c r="O574" t="str">
        <f t="shared" si="18"/>
        <v>True</v>
      </c>
      <c r="P574" s="3">
        <v>183743.08635645601</v>
      </c>
      <c r="Q574" s="3">
        <v>0</v>
      </c>
      <c r="R574" s="3">
        <v>0</v>
      </c>
      <c r="S574" s="3">
        <v>3738.0136389425988</v>
      </c>
      <c r="T574" s="3">
        <v>2098.788894835835</v>
      </c>
      <c r="U574">
        <v>4.8256908117178803E-2</v>
      </c>
      <c r="V574" s="3">
        <v>-141767.30845973929</v>
      </c>
      <c r="W574">
        <v>87.547197723679702</v>
      </c>
      <c r="X574">
        <v>1.247583766271505</v>
      </c>
      <c r="Y574">
        <v>0.70048298560215883</v>
      </c>
      <c r="Z574" s="5">
        <v>0.3595785333990375</v>
      </c>
      <c r="AA574">
        <v>6.9310209237305846</v>
      </c>
      <c r="AB574">
        <v>15.792199573057029</v>
      </c>
      <c r="AC574">
        <v>8.8668732354703614</v>
      </c>
      <c r="AD574" s="5">
        <v>0.35957853339903739</v>
      </c>
      <c r="AE574">
        <v>87.734442072539053</v>
      </c>
      <c r="AF574">
        <v>49.260406863724228</v>
      </c>
      <c r="AG574">
        <v>3.8915721422342151</v>
      </c>
      <c r="AH574" t="str">
        <f t="shared" si="17"/>
        <v>True</v>
      </c>
      <c r="AI574">
        <v>1</v>
      </c>
    </row>
    <row r="575" spans="1:35" x14ac:dyDescent="0.35">
      <c r="A575" t="s">
        <v>674</v>
      </c>
      <c r="B575" t="s">
        <v>660</v>
      </c>
      <c r="C575" t="s">
        <v>33</v>
      </c>
      <c r="D575" t="s">
        <v>34</v>
      </c>
      <c r="E575" t="s">
        <v>52</v>
      </c>
      <c r="F575" t="s">
        <v>34</v>
      </c>
      <c r="G575" t="s">
        <v>37</v>
      </c>
      <c r="H575" t="s">
        <v>35</v>
      </c>
      <c r="I575" t="s">
        <v>35</v>
      </c>
      <c r="J575" t="s">
        <v>35</v>
      </c>
      <c r="K575" t="s">
        <v>37</v>
      </c>
      <c r="L575" t="s">
        <v>37</v>
      </c>
      <c r="M575" t="s">
        <v>37</v>
      </c>
      <c r="N575" t="s">
        <v>35</v>
      </c>
      <c r="O575" t="str">
        <f t="shared" si="18"/>
        <v>True</v>
      </c>
      <c r="P575" s="3">
        <v>112891.5954624295</v>
      </c>
      <c r="Q575" s="3">
        <v>0</v>
      </c>
      <c r="R575" s="3">
        <v>0</v>
      </c>
      <c r="S575" s="3">
        <v>4557.4393130032486</v>
      </c>
      <c r="T575" s="3">
        <v>1279.3632207751839</v>
      </c>
      <c r="U575">
        <v>4.7877778661935599E-2</v>
      </c>
      <c r="V575" s="3">
        <v>-87304.331046925829</v>
      </c>
      <c r="W575">
        <v>88.240457150258649</v>
      </c>
      <c r="X575">
        <v>1.5210718450665679</v>
      </c>
      <c r="Y575">
        <v>0.42699490680709568</v>
      </c>
      <c r="Z575" s="5">
        <v>0.21918905314533449</v>
      </c>
      <c r="AA575">
        <v>8.4503991392587139</v>
      </c>
      <c r="AB575">
        <v>19.254073988184409</v>
      </c>
      <c r="AC575">
        <v>5.404998820342982</v>
      </c>
      <c r="AD575" s="5">
        <v>0.21918905314533449</v>
      </c>
      <c r="AE575">
        <v>106.96707771213561</v>
      </c>
      <c r="AF575">
        <v>30.02777122412768</v>
      </c>
      <c r="AG575">
        <v>2.372193926706085</v>
      </c>
      <c r="AH575" t="str">
        <f t="shared" si="17"/>
        <v>True</v>
      </c>
      <c r="AI575">
        <v>1</v>
      </c>
    </row>
    <row r="576" spans="1:35" x14ac:dyDescent="0.35">
      <c r="A576" t="s">
        <v>675</v>
      </c>
      <c r="B576" t="s">
        <v>660</v>
      </c>
      <c r="C576" t="s">
        <v>33</v>
      </c>
      <c r="D576" t="s">
        <v>34</v>
      </c>
      <c r="E576" t="s">
        <v>52</v>
      </c>
      <c r="F576" t="s">
        <v>34</v>
      </c>
      <c r="G576" t="s">
        <v>37</v>
      </c>
      <c r="H576" t="s">
        <v>35</v>
      </c>
      <c r="I576" t="s">
        <v>35</v>
      </c>
      <c r="J576" t="s">
        <v>37</v>
      </c>
      <c r="K576" t="s">
        <v>35</v>
      </c>
      <c r="L576" t="s">
        <v>37</v>
      </c>
      <c r="M576" t="s">
        <v>35</v>
      </c>
      <c r="N576" t="s">
        <v>35</v>
      </c>
      <c r="O576" t="str">
        <f t="shared" si="18"/>
        <v>True</v>
      </c>
      <c r="P576" s="3">
        <v>167310.0137856809</v>
      </c>
      <c r="Q576" s="3">
        <v>0</v>
      </c>
      <c r="R576" s="3">
        <v>0</v>
      </c>
      <c r="S576" s="3">
        <v>3996.0254564025872</v>
      </c>
      <c r="T576" s="3">
        <v>1840.7770773758471</v>
      </c>
      <c r="U576">
        <v>4.6481593108980097E-2</v>
      </c>
      <c r="V576" s="3">
        <v>-130494.472238164</v>
      </c>
      <c r="W576">
        <v>90.890969820306964</v>
      </c>
      <c r="X576">
        <v>1.3336967091499969</v>
      </c>
      <c r="Y576">
        <v>0.61437004272366669</v>
      </c>
      <c r="Z576" s="5">
        <v>0.31537422530966219</v>
      </c>
      <c r="AA576">
        <v>7.4094261619444293</v>
      </c>
      <c r="AB576">
        <v>16.88223682468351</v>
      </c>
      <c r="AC576">
        <v>7.7768359838438812</v>
      </c>
      <c r="AD576" s="5">
        <v>0.31537422530966219</v>
      </c>
      <c r="AE576">
        <v>93.79020458157504</v>
      </c>
      <c r="AF576">
        <v>43.204644354688227</v>
      </c>
      <c r="AG576">
        <v>3.41316690402037</v>
      </c>
      <c r="AH576" t="str">
        <f t="shared" si="17"/>
        <v>True</v>
      </c>
      <c r="AI576">
        <v>1</v>
      </c>
    </row>
    <row r="577" spans="1:35" x14ac:dyDescent="0.35">
      <c r="A577" t="s">
        <v>676</v>
      </c>
      <c r="B577" t="s">
        <v>677</v>
      </c>
      <c r="C577" t="s">
        <v>33</v>
      </c>
      <c r="D577" t="s">
        <v>39</v>
      </c>
      <c r="E577" t="s">
        <v>39</v>
      </c>
      <c r="F577" t="s">
        <v>39</v>
      </c>
      <c r="G577" t="s">
        <v>35</v>
      </c>
      <c r="H577" t="s">
        <v>35</v>
      </c>
      <c r="I577" t="s">
        <v>35</v>
      </c>
      <c r="J577" t="s">
        <v>35</v>
      </c>
      <c r="K577" t="s">
        <v>35</v>
      </c>
      <c r="L577" t="s">
        <v>35</v>
      </c>
      <c r="M577" t="s">
        <v>35</v>
      </c>
      <c r="N577" t="s">
        <v>35</v>
      </c>
      <c r="O577" t="str">
        <f t="shared" si="18"/>
        <v>False</v>
      </c>
      <c r="P577" s="3">
        <v>0</v>
      </c>
      <c r="Q577" s="3">
        <v>3244.412233252247</v>
      </c>
      <c r="R577" s="3">
        <v>0</v>
      </c>
      <c r="S577" s="3">
        <v>2869.893615278796</v>
      </c>
      <c r="T577" s="3">
        <v>0</v>
      </c>
      <c r="U577">
        <v>0</v>
      </c>
      <c r="V577" s="3">
        <v>0</v>
      </c>
      <c r="W577">
        <v>0</v>
      </c>
      <c r="X577">
        <v>9.6454949671483288</v>
      </c>
      <c r="Y577">
        <v>0</v>
      </c>
      <c r="Z577" s="5">
        <v>0</v>
      </c>
      <c r="AA577">
        <v>16.075824945247209</v>
      </c>
      <c r="AB577">
        <v>51.965192908560887</v>
      </c>
      <c r="AC577">
        <v>-7.1054273576010019E-15</v>
      </c>
      <c r="AD577" s="5">
        <v>-1.3673435928745361E-16</v>
      </c>
      <c r="AE577">
        <v>86.608654847601485</v>
      </c>
      <c r="AF577">
        <v>-1.1842378929335E-14</v>
      </c>
      <c r="AG577">
        <v>0</v>
      </c>
      <c r="AH577" t="str">
        <f t="shared" si="17"/>
        <v>False</v>
      </c>
      <c r="AI577">
        <v>0</v>
      </c>
    </row>
    <row r="578" spans="1:35" x14ac:dyDescent="0.35">
      <c r="A578" t="s">
        <v>678</v>
      </c>
      <c r="B578" t="s">
        <v>677</v>
      </c>
      <c r="C578" t="s">
        <v>33</v>
      </c>
      <c r="D578" t="s">
        <v>39</v>
      </c>
      <c r="E578" t="s">
        <v>39</v>
      </c>
      <c r="F578" t="s">
        <v>39</v>
      </c>
      <c r="G578" t="s">
        <v>35</v>
      </c>
      <c r="H578" t="s">
        <v>35</v>
      </c>
      <c r="I578" t="s">
        <v>35</v>
      </c>
      <c r="J578" t="s">
        <v>35</v>
      </c>
      <c r="K578" t="s">
        <v>37</v>
      </c>
      <c r="L578" t="s">
        <v>35</v>
      </c>
      <c r="M578" t="s">
        <v>35</v>
      </c>
      <c r="N578" t="s">
        <v>35</v>
      </c>
      <c r="O578" t="str">
        <f t="shared" si="18"/>
        <v>False</v>
      </c>
      <c r="P578" s="3">
        <v>18257.6825117027</v>
      </c>
      <c r="Q578" s="3">
        <v>2961.589013352539</v>
      </c>
      <c r="R578" s="3">
        <v>282.82321989970751</v>
      </c>
      <c r="S578" s="3">
        <v>2842.8798460823532</v>
      </c>
      <c r="T578" s="3">
        <v>27.013769196443501</v>
      </c>
      <c r="U578">
        <v>0.1862228633119854</v>
      </c>
      <c r="V578" s="3">
        <v>-12060.942729779679</v>
      </c>
      <c r="W578">
        <v>58.926736168472253</v>
      </c>
      <c r="X578">
        <v>8.8939386700704919</v>
      </c>
      <c r="Y578">
        <v>0.75155629707783511</v>
      </c>
      <c r="Z578" s="5">
        <v>7.7917856951620096E-2</v>
      </c>
      <c r="AA578">
        <v>14.82323111678415</v>
      </c>
      <c r="AB578">
        <v>48.565194993790449</v>
      </c>
      <c r="AC578">
        <v>3.399997914770438</v>
      </c>
      <c r="AD578" s="5">
        <v>6.5428370885741702E-2</v>
      </c>
      <c r="AE578">
        <v>80.941991656317413</v>
      </c>
      <c r="AF578">
        <v>5.666663191284063</v>
      </c>
      <c r="AG578">
        <v>1.252593828463056</v>
      </c>
      <c r="AH578" t="str">
        <f t="shared" si="17"/>
        <v>False</v>
      </c>
      <c r="AI578">
        <v>1</v>
      </c>
    </row>
    <row r="579" spans="1:35" x14ac:dyDescent="0.35">
      <c r="A579" t="s">
        <v>679</v>
      </c>
      <c r="B579" t="s">
        <v>677</v>
      </c>
      <c r="C579" t="s">
        <v>33</v>
      </c>
      <c r="D579" t="s">
        <v>39</v>
      </c>
      <c r="E579" t="s">
        <v>39</v>
      </c>
      <c r="F579" t="s">
        <v>39</v>
      </c>
      <c r="G579" t="s">
        <v>37</v>
      </c>
      <c r="H579" t="s">
        <v>35</v>
      </c>
      <c r="I579" t="s">
        <v>35</v>
      </c>
      <c r="J579" t="s">
        <v>35</v>
      </c>
      <c r="K579" t="s">
        <v>37</v>
      </c>
      <c r="L579" t="s">
        <v>35</v>
      </c>
      <c r="M579" t="s">
        <v>35</v>
      </c>
      <c r="N579" t="s">
        <v>35</v>
      </c>
      <c r="O579" t="str">
        <f t="shared" si="18"/>
        <v>True</v>
      </c>
      <c r="P579" s="3">
        <v>40632.427622876712</v>
      </c>
      <c r="Q579" s="3">
        <v>2636.7580472124132</v>
      </c>
      <c r="R579" s="3">
        <v>607.65418603983392</v>
      </c>
      <c r="S579" s="3">
        <v>2811.7177265969722</v>
      </c>
      <c r="T579" s="3">
        <v>58.175888681824013</v>
      </c>
      <c r="U579">
        <v>0.17979940369663491</v>
      </c>
      <c r="V579" s="3">
        <v>-27315.82612844355</v>
      </c>
      <c r="W579">
        <v>61.02522124712165</v>
      </c>
      <c r="X579">
        <v>8.0306992830608248</v>
      </c>
      <c r="Y579">
        <v>1.614795684087502</v>
      </c>
      <c r="Z579" s="5">
        <v>0.16741449656936719</v>
      </c>
      <c r="AA579">
        <v>13.384498805101369</v>
      </c>
      <c r="AB579">
        <v>44.65950665122098</v>
      </c>
      <c r="AC579">
        <v>7.3056862573399073</v>
      </c>
      <c r="AD579" s="5">
        <v>0.14058807152308961</v>
      </c>
      <c r="AE579">
        <v>74.432511085368304</v>
      </c>
      <c r="AF579">
        <v>12.176143762233179</v>
      </c>
      <c r="AG579">
        <v>2.691326140145835</v>
      </c>
      <c r="AH579" t="str">
        <f t="shared" ref="AH579:AH642" si="19">IF(OR(G579="True",I579="True",J579="True"),"True","False")</f>
        <v>True</v>
      </c>
      <c r="AI579">
        <v>1</v>
      </c>
    </row>
    <row r="580" spans="1:35" x14ac:dyDescent="0.35">
      <c r="A580" t="s">
        <v>680</v>
      </c>
      <c r="B580" t="s">
        <v>677</v>
      </c>
      <c r="C580" t="s">
        <v>33</v>
      </c>
      <c r="D580" t="s">
        <v>39</v>
      </c>
      <c r="E580" t="s">
        <v>39</v>
      </c>
      <c r="F580" t="s">
        <v>39</v>
      </c>
      <c r="G580" t="s">
        <v>37</v>
      </c>
      <c r="H580" t="s">
        <v>35</v>
      </c>
      <c r="I580" t="s">
        <v>35</v>
      </c>
      <c r="J580" t="s">
        <v>35</v>
      </c>
      <c r="K580" t="s">
        <v>35</v>
      </c>
      <c r="L580" t="s">
        <v>35</v>
      </c>
      <c r="M580" t="s">
        <v>35</v>
      </c>
      <c r="N580" t="s">
        <v>35</v>
      </c>
      <c r="O580" t="str">
        <f t="shared" si="18"/>
        <v>False</v>
      </c>
      <c r="P580" s="3">
        <v>22374.745111174008</v>
      </c>
      <c r="Q580" s="3">
        <v>2910.6067849546612</v>
      </c>
      <c r="R580" s="3">
        <v>333.80544829758583</v>
      </c>
      <c r="S580" s="3">
        <v>2837.8745467750291</v>
      </c>
      <c r="T580" s="3">
        <v>32.019068503767599</v>
      </c>
      <c r="U580">
        <v>0.1793796997281964</v>
      </c>
      <c r="V580" s="3">
        <v>-15058.254775146939</v>
      </c>
      <c r="W580">
        <v>61.162508480326203</v>
      </c>
      <c r="X580">
        <v>8.7584074647779495</v>
      </c>
      <c r="Y580">
        <v>0.88708750237037748</v>
      </c>
      <c r="Z580" s="5">
        <v>9.1969101159838404E-2</v>
      </c>
      <c r="AA580">
        <v>14.597345774629909</v>
      </c>
      <c r="AB580">
        <v>47.951617849023563</v>
      </c>
      <c r="AC580">
        <v>4.0135750595373239</v>
      </c>
      <c r="AD580" s="5">
        <v>7.7235834890475599E-2</v>
      </c>
      <c r="AE580">
        <v>79.919363081705939</v>
      </c>
      <c r="AF580">
        <v>6.6892917658955398</v>
      </c>
      <c r="AG580">
        <v>1.4784791706172951</v>
      </c>
      <c r="AH580" t="str">
        <f t="shared" si="19"/>
        <v>True</v>
      </c>
      <c r="AI580">
        <v>1</v>
      </c>
    </row>
    <row r="581" spans="1:35" x14ac:dyDescent="0.35">
      <c r="A581" t="s">
        <v>681</v>
      </c>
      <c r="B581" t="s">
        <v>677</v>
      </c>
      <c r="C581" t="s">
        <v>33</v>
      </c>
      <c r="D581" t="s">
        <v>39</v>
      </c>
      <c r="E581" t="s">
        <v>39</v>
      </c>
      <c r="F581" t="s">
        <v>39</v>
      </c>
      <c r="G581" t="s">
        <v>35</v>
      </c>
      <c r="H581" t="s">
        <v>35</v>
      </c>
      <c r="I581" t="s">
        <v>35</v>
      </c>
      <c r="J581" t="s">
        <v>35</v>
      </c>
      <c r="K581" t="s">
        <v>37</v>
      </c>
      <c r="L581" t="s">
        <v>37</v>
      </c>
      <c r="M581" t="s">
        <v>35</v>
      </c>
      <c r="N581" t="s">
        <v>35</v>
      </c>
      <c r="O581" t="str">
        <f t="shared" ref="O581:O644" si="20">IF(COUNTIF(G581:N581,"True")&gt;1, "True", "False")</f>
        <v>True</v>
      </c>
      <c r="P581" s="3">
        <v>66754.651683413002</v>
      </c>
      <c r="Q581" s="3">
        <v>2316.566165719822</v>
      </c>
      <c r="R581" s="3">
        <v>927.8460675324244</v>
      </c>
      <c r="S581" s="3">
        <v>2780.9754729999631</v>
      </c>
      <c r="T581" s="3">
        <v>88.918142278832804</v>
      </c>
      <c r="U581">
        <v>0.1671152882122818</v>
      </c>
      <c r="V581" s="3">
        <v>-46419.367487187861</v>
      </c>
      <c r="W581">
        <v>65.654014017472875</v>
      </c>
      <c r="X581">
        <v>7.1797782083346311</v>
      </c>
      <c r="Y581">
        <v>2.4657167588136959</v>
      </c>
      <c r="Z581" s="5">
        <v>0.25563403093482517</v>
      </c>
      <c r="AA581">
        <v>11.966297013891049</v>
      </c>
      <c r="AB581">
        <v>40.809470052976842</v>
      </c>
      <c r="AC581">
        <v>11.155722855584051</v>
      </c>
      <c r="AD581" s="5">
        <v>0.21467682945416761</v>
      </c>
      <c r="AE581">
        <v>68.015783421628072</v>
      </c>
      <c r="AF581">
        <v>18.59287142597341</v>
      </c>
      <c r="AG581">
        <v>4.1095279313561583</v>
      </c>
      <c r="AH581" t="str">
        <f t="shared" si="19"/>
        <v>False</v>
      </c>
      <c r="AI581">
        <v>1</v>
      </c>
    </row>
    <row r="582" spans="1:35" x14ac:dyDescent="0.35">
      <c r="A582" t="s">
        <v>682</v>
      </c>
      <c r="B582" t="s">
        <v>677</v>
      </c>
      <c r="C582" t="s">
        <v>33</v>
      </c>
      <c r="D582" t="s">
        <v>39</v>
      </c>
      <c r="E582" t="s">
        <v>39</v>
      </c>
      <c r="F582" t="s">
        <v>39</v>
      </c>
      <c r="G582" t="s">
        <v>37</v>
      </c>
      <c r="H582" t="s">
        <v>35</v>
      </c>
      <c r="I582" t="s">
        <v>35</v>
      </c>
      <c r="J582" t="s">
        <v>35</v>
      </c>
      <c r="K582" t="s">
        <v>37</v>
      </c>
      <c r="L582" t="s">
        <v>37</v>
      </c>
      <c r="M582" t="s">
        <v>35</v>
      </c>
      <c r="N582" t="s">
        <v>35</v>
      </c>
      <c r="O582" t="str">
        <f t="shared" si="20"/>
        <v>True</v>
      </c>
      <c r="P582" s="3">
        <v>89129.39679458701</v>
      </c>
      <c r="Q582" s="3">
        <v>2006.4407097341621</v>
      </c>
      <c r="R582" s="3">
        <v>1237.971523518085</v>
      </c>
      <c r="S582" s="3">
        <v>2751.2339129481529</v>
      </c>
      <c r="T582" s="3">
        <v>118.659702330643</v>
      </c>
      <c r="U582">
        <v>0.16699929080645301</v>
      </c>
      <c r="V582" s="3">
        <v>-61996.772277612443</v>
      </c>
      <c r="W582">
        <v>65.699060360951336</v>
      </c>
      <c r="X582">
        <v>6.3556226884013078</v>
      </c>
      <c r="Y582">
        <v>3.2898722787470192</v>
      </c>
      <c r="Z582" s="5">
        <v>0.3410786372241158</v>
      </c>
      <c r="AA582">
        <v>10.59270448066885</v>
      </c>
      <c r="AB582">
        <v>37.080646853857907</v>
      </c>
      <c r="AC582">
        <v>14.88454605470297</v>
      </c>
      <c r="AD582" s="5">
        <v>0.28643299912104919</v>
      </c>
      <c r="AE582">
        <v>61.801078089763188</v>
      </c>
      <c r="AF582">
        <v>24.807576757838291</v>
      </c>
      <c r="AG582">
        <v>5.4831204645783629</v>
      </c>
      <c r="AH582" t="str">
        <f t="shared" si="19"/>
        <v>True</v>
      </c>
      <c r="AI582">
        <v>1</v>
      </c>
    </row>
    <row r="583" spans="1:35" x14ac:dyDescent="0.35">
      <c r="A583" t="s">
        <v>683</v>
      </c>
      <c r="B583" t="s">
        <v>677</v>
      </c>
      <c r="C583" t="s">
        <v>33</v>
      </c>
      <c r="D583" t="s">
        <v>39</v>
      </c>
      <c r="E583" t="s">
        <v>39</v>
      </c>
      <c r="F583" t="s">
        <v>39</v>
      </c>
      <c r="G583" t="s">
        <v>37</v>
      </c>
      <c r="H583" t="s">
        <v>35</v>
      </c>
      <c r="I583" t="s">
        <v>35</v>
      </c>
      <c r="J583" t="s">
        <v>35</v>
      </c>
      <c r="K583" t="s">
        <v>35</v>
      </c>
      <c r="L583" t="s">
        <v>37</v>
      </c>
      <c r="M583" t="s">
        <v>35</v>
      </c>
      <c r="N583" t="s">
        <v>35</v>
      </c>
      <c r="O583" t="str">
        <f t="shared" si="20"/>
        <v>True</v>
      </c>
      <c r="P583" s="3">
        <v>70871.714282884306</v>
      </c>
      <c r="Q583" s="3">
        <v>2264.518727579959</v>
      </c>
      <c r="R583" s="3">
        <v>979.89350567228757</v>
      </c>
      <c r="S583" s="3">
        <v>2775.8894136477802</v>
      </c>
      <c r="T583" s="3">
        <v>94.004201631015874</v>
      </c>
      <c r="U583">
        <v>0.16624402894888199</v>
      </c>
      <c r="V583" s="3">
        <v>-49393.760136818237</v>
      </c>
      <c r="W583">
        <v>65.994846437331901</v>
      </c>
      <c r="X583">
        <v>7.0414247761969779</v>
      </c>
      <c r="Y583">
        <v>2.6040701909513491</v>
      </c>
      <c r="Z583" s="5">
        <v>0.26997787047949062</v>
      </c>
      <c r="AA583">
        <v>11.7357079603283</v>
      </c>
      <c r="AB583">
        <v>40.18319358766017</v>
      </c>
      <c r="AC583">
        <v>11.78199932090072</v>
      </c>
      <c r="AD583" s="5">
        <v>0.22672867474258371</v>
      </c>
      <c r="AE583">
        <v>66.971989312766951</v>
      </c>
      <c r="AF583">
        <v>19.636665534834531</v>
      </c>
      <c r="AG583">
        <v>4.3401169849189127</v>
      </c>
      <c r="AH583" t="str">
        <f t="shared" si="19"/>
        <v>True</v>
      </c>
      <c r="AI583">
        <v>1</v>
      </c>
    </row>
    <row r="584" spans="1:35" x14ac:dyDescent="0.35">
      <c r="A584" t="s">
        <v>684</v>
      </c>
      <c r="B584" t="s">
        <v>677</v>
      </c>
      <c r="C584" t="s">
        <v>33</v>
      </c>
      <c r="D584" t="s">
        <v>39</v>
      </c>
      <c r="E584" t="s">
        <v>39</v>
      </c>
      <c r="F584" t="s">
        <v>39</v>
      </c>
      <c r="G584" t="s">
        <v>35</v>
      </c>
      <c r="H584" t="s">
        <v>35</v>
      </c>
      <c r="I584" t="s">
        <v>35</v>
      </c>
      <c r="J584" t="s">
        <v>35</v>
      </c>
      <c r="K584" t="s">
        <v>35</v>
      </c>
      <c r="L584" t="s">
        <v>37</v>
      </c>
      <c r="M584" t="s">
        <v>35</v>
      </c>
      <c r="N584" t="s">
        <v>35</v>
      </c>
      <c r="O584" t="str">
        <f t="shared" si="20"/>
        <v>False</v>
      </c>
      <c r="P584" s="3">
        <v>48496.969171710298</v>
      </c>
      <c r="Q584" s="3">
        <v>2586.3703082223401</v>
      </c>
      <c r="R584" s="3">
        <v>658.04192502990725</v>
      </c>
      <c r="S584" s="3">
        <v>2806.7503408345779</v>
      </c>
      <c r="T584" s="3">
        <v>63.143274444217973</v>
      </c>
      <c r="U584">
        <v>0.16314859135683149</v>
      </c>
      <c r="V584" s="3">
        <v>-34073.265182227799</v>
      </c>
      <c r="W584">
        <v>67.24620694805354</v>
      </c>
      <c r="X584">
        <v>7.89674028824881</v>
      </c>
      <c r="Y584">
        <v>1.748754678899517</v>
      </c>
      <c r="Z584" s="5">
        <v>0.1813027413166059</v>
      </c>
      <c r="AA584">
        <v>13.161233813748019</v>
      </c>
      <c r="AB584">
        <v>44.052980703120667</v>
      </c>
      <c r="AC584">
        <v>7.9122122054402197</v>
      </c>
      <c r="AD584" s="5">
        <v>0.1522598447649896</v>
      </c>
      <c r="AE584">
        <v>73.421634505201112</v>
      </c>
      <c r="AF584">
        <v>13.18702034240037</v>
      </c>
      <c r="AG584">
        <v>2.9145911314991921</v>
      </c>
      <c r="AH584" t="str">
        <f t="shared" si="19"/>
        <v>False</v>
      </c>
      <c r="AI584">
        <v>1</v>
      </c>
    </row>
    <row r="585" spans="1:35" x14ac:dyDescent="0.35">
      <c r="A585" t="s">
        <v>685</v>
      </c>
      <c r="B585" t="s">
        <v>677</v>
      </c>
      <c r="C585" t="s">
        <v>33</v>
      </c>
      <c r="D585" t="s">
        <v>52</v>
      </c>
      <c r="E585" t="s">
        <v>52</v>
      </c>
      <c r="F585" t="s">
        <v>52</v>
      </c>
      <c r="G585" t="s">
        <v>35</v>
      </c>
      <c r="H585" t="s">
        <v>37</v>
      </c>
      <c r="I585" t="s">
        <v>35</v>
      </c>
      <c r="J585" t="s">
        <v>35</v>
      </c>
      <c r="K585" t="s">
        <v>37</v>
      </c>
      <c r="L585" t="s">
        <v>37</v>
      </c>
      <c r="M585" t="s">
        <v>35</v>
      </c>
      <c r="N585" t="s">
        <v>35</v>
      </c>
      <c r="O585" t="str">
        <f t="shared" si="20"/>
        <v>True</v>
      </c>
      <c r="P585" s="3">
        <v>120454.0399502306</v>
      </c>
      <c r="Q585" s="3">
        <v>1858.7224062993239</v>
      </c>
      <c r="R585" s="3">
        <v>1385.6898269529231</v>
      </c>
      <c r="S585" s="3">
        <v>2737.18451217129</v>
      </c>
      <c r="T585" s="3">
        <v>132.70910310750631</v>
      </c>
      <c r="U585">
        <v>0.13831050148108409</v>
      </c>
      <c r="V585" s="3">
        <v>-90086.061349021998</v>
      </c>
      <c r="W585">
        <v>79.329639639193331</v>
      </c>
      <c r="X585">
        <v>5.9631094830725839</v>
      </c>
      <c r="Y585">
        <v>3.6823854840757431</v>
      </c>
      <c r="Z585" s="5">
        <v>0.38177257845425361</v>
      </c>
      <c r="AA585">
        <v>9.9385158051209714</v>
      </c>
      <c r="AB585">
        <v>35.305134237621949</v>
      </c>
      <c r="AC585">
        <v>16.660058670938941</v>
      </c>
      <c r="AD585" s="5">
        <v>0.32060034300756562</v>
      </c>
      <c r="AE585">
        <v>58.841890396036582</v>
      </c>
      <c r="AF585">
        <v>27.766764451564899</v>
      </c>
      <c r="AG585">
        <v>6.1373091401262361</v>
      </c>
      <c r="AH585" t="str">
        <f t="shared" si="19"/>
        <v>False</v>
      </c>
      <c r="AI585">
        <v>2</v>
      </c>
    </row>
    <row r="586" spans="1:35" x14ac:dyDescent="0.35">
      <c r="A586" t="s">
        <v>686</v>
      </c>
      <c r="B586" t="s">
        <v>677</v>
      </c>
      <c r="C586" t="s">
        <v>33</v>
      </c>
      <c r="D586" t="s">
        <v>39</v>
      </c>
      <c r="E586" t="s">
        <v>39</v>
      </c>
      <c r="F586" t="s">
        <v>39</v>
      </c>
      <c r="G586" t="s">
        <v>35</v>
      </c>
      <c r="H586" t="s">
        <v>37</v>
      </c>
      <c r="I586" t="s">
        <v>35</v>
      </c>
      <c r="J586" t="s">
        <v>35</v>
      </c>
      <c r="K586" t="s">
        <v>35</v>
      </c>
      <c r="L586" t="s">
        <v>37</v>
      </c>
      <c r="M586" t="s">
        <v>35</v>
      </c>
      <c r="N586" t="s">
        <v>35</v>
      </c>
      <c r="O586" t="str">
        <f t="shared" si="20"/>
        <v>True</v>
      </c>
      <c r="P586" s="3">
        <v>102196.35743852791</v>
      </c>
      <c r="Q586" s="3">
        <v>2107.9094417841939</v>
      </c>
      <c r="R586" s="3">
        <v>1136.5027914680529</v>
      </c>
      <c r="S586" s="3">
        <v>2760.9946407679531</v>
      </c>
      <c r="T586" s="3">
        <v>108.8989745108433</v>
      </c>
      <c r="U586">
        <v>0.13370708073322929</v>
      </c>
      <c r="V586" s="3">
        <v>-77288.322118949975</v>
      </c>
      <c r="W586">
        <v>82.058946944081669</v>
      </c>
      <c r="X586">
        <v>6.6252867830985966</v>
      </c>
      <c r="Y586">
        <v>3.0202081840497299</v>
      </c>
      <c r="Z586" s="5">
        <v>0.31312111968709572</v>
      </c>
      <c r="AA586">
        <v>11.04214463849766</v>
      </c>
      <c r="AB586">
        <v>38.300816293885681</v>
      </c>
      <c r="AC586">
        <v>13.664376614675209</v>
      </c>
      <c r="AD586" s="5">
        <v>0.26295248511285912</v>
      </c>
      <c r="AE586">
        <v>63.834693823142807</v>
      </c>
      <c r="AF586">
        <v>22.773961024458671</v>
      </c>
      <c r="AG586">
        <v>5.033680306749547</v>
      </c>
      <c r="AH586" t="str">
        <f t="shared" si="19"/>
        <v>False</v>
      </c>
      <c r="AI586">
        <v>2</v>
      </c>
    </row>
    <row r="587" spans="1:35" x14ac:dyDescent="0.35">
      <c r="A587" t="s">
        <v>687</v>
      </c>
      <c r="B587" t="s">
        <v>677</v>
      </c>
      <c r="C587" t="s">
        <v>33</v>
      </c>
      <c r="D587" t="s">
        <v>39</v>
      </c>
      <c r="E587" t="s">
        <v>39</v>
      </c>
      <c r="F587" t="s">
        <v>39</v>
      </c>
      <c r="G587" t="s">
        <v>35</v>
      </c>
      <c r="H587" t="s">
        <v>37</v>
      </c>
      <c r="I587" t="s">
        <v>35</v>
      </c>
      <c r="J587" t="s">
        <v>35</v>
      </c>
      <c r="K587" t="s">
        <v>37</v>
      </c>
      <c r="L587" t="s">
        <v>35</v>
      </c>
      <c r="M587" t="s">
        <v>35</v>
      </c>
      <c r="N587" t="s">
        <v>35</v>
      </c>
      <c r="O587" t="str">
        <f t="shared" si="20"/>
        <v>True</v>
      </c>
      <c r="P587" s="3">
        <v>71957.070778520327</v>
      </c>
      <c r="Q587" s="3">
        <v>2483.9792793785159</v>
      </c>
      <c r="R587" s="3">
        <v>760.43295387373064</v>
      </c>
      <c r="S587" s="3">
        <v>2797.1960899800738</v>
      </c>
      <c r="T587" s="3">
        <v>72.697525298721985</v>
      </c>
      <c r="U587">
        <v>0.1270476628684937</v>
      </c>
      <c r="V587" s="3">
        <v>-55294.461195071272</v>
      </c>
      <c r="W587">
        <v>86.36950943145807</v>
      </c>
      <c r="X587">
        <v>7.6247431691052547</v>
      </c>
      <c r="Y587">
        <v>2.0207517980430718</v>
      </c>
      <c r="Z587" s="5">
        <v>0.20950213596353201</v>
      </c>
      <c r="AA587">
        <v>12.707905281842089</v>
      </c>
      <c r="AB587">
        <v>42.823215239287087</v>
      </c>
      <c r="AC587">
        <v>9.1419776692737926</v>
      </c>
      <c r="AD587" s="5">
        <v>0.1759250212995499</v>
      </c>
      <c r="AE587">
        <v>71.372025398811815</v>
      </c>
      <c r="AF587">
        <v>15.23662944878965</v>
      </c>
      <c r="AG587">
        <v>3.3679196634051181</v>
      </c>
      <c r="AH587" t="str">
        <f t="shared" si="19"/>
        <v>False</v>
      </c>
      <c r="AI587">
        <v>2</v>
      </c>
    </row>
    <row r="588" spans="1:35" x14ac:dyDescent="0.35">
      <c r="A588" t="s">
        <v>688</v>
      </c>
      <c r="B588" t="s">
        <v>677</v>
      </c>
      <c r="C588" t="s">
        <v>33</v>
      </c>
      <c r="D588" t="s">
        <v>39</v>
      </c>
      <c r="E588" t="s">
        <v>39</v>
      </c>
      <c r="F588" t="s">
        <v>39</v>
      </c>
      <c r="G588" t="s">
        <v>35</v>
      </c>
      <c r="H588" t="s">
        <v>37</v>
      </c>
      <c r="I588" t="s">
        <v>35</v>
      </c>
      <c r="J588" t="s">
        <v>35</v>
      </c>
      <c r="K588" t="s">
        <v>35</v>
      </c>
      <c r="L588" t="s">
        <v>35</v>
      </c>
      <c r="M588" t="s">
        <v>35</v>
      </c>
      <c r="N588" t="s">
        <v>35</v>
      </c>
      <c r="O588" t="str">
        <f t="shared" si="20"/>
        <v>False</v>
      </c>
      <c r="P588" s="3">
        <v>53699.388266817623</v>
      </c>
      <c r="Q588" s="3">
        <v>2754.4710379542271</v>
      </c>
      <c r="R588" s="3">
        <v>489.94119529801998</v>
      </c>
      <c r="S588" s="3">
        <v>2823.0245894575928</v>
      </c>
      <c r="T588" s="3">
        <v>46.869025821202982</v>
      </c>
      <c r="U588">
        <v>0.10968955010753779</v>
      </c>
      <c r="V588" s="3">
        <v>-42963.183844433173</v>
      </c>
      <c r="W588">
        <v>100.0342134970102</v>
      </c>
      <c r="X588">
        <v>8.3435276575853869</v>
      </c>
      <c r="Y588">
        <v>1.30196730956294</v>
      </c>
      <c r="Z588" s="5">
        <v>0.1349819075119858</v>
      </c>
      <c r="AA588">
        <v>13.90587942930898</v>
      </c>
      <c r="AB588">
        <v>46.074931168523669</v>
      </c>
      <c r="AC588">
        <v>5.8902617400372179</v>
      </c>
      <c r="AD588" s="5">
        <v>0.1133501370889136</v>
      </c>
      <c r="AE588">
        <v>76.791551947539446</v>
      </c>
      <c r="AF588">
        <v>9.8171029000620305</v>
      </c>
      <c r="AG588">
        <v>2.1699455159382288</v>
      </c>
      <c r="AH588" t="str">
        <f t="shared" si="19"/>
        <v>False</v>
      </c>
      <c r="AI588">
        <v>2</v>
      </c>
    </row>
    <row r="589" spans="1:35" x14ac:dyDescent="0.35">
      <c r="A589" t="s">
        <v>689</v>
      </c>
      <c r="B589" t="s">
        <v>677</v>
      </c>
      <c r="C589" t="s">
        <v>33</v>
      </c>
      <c r="D589" t="s">
        <v>52</v>
      </c>
      <c r="E589" t="s">
        <v>52</v>
      </c>
      <c r="F589" t="s">
        <v>52</v>
      </c>
      <c r="G589" t="s">
        <v>37</v>
      </c>
      <c r="H589" t="s">
        <v>35</v>
      </c>
      <c r="I589" t="s">
        <v>37</v>
      </c>
      <c r="J589" t="s">
        <v>35</v>
      </c>
      <c r="K589" t="s">
        <v>37</v>
      </c>
      <c r="L589" t="s">
        <v>37</v>
      </c>
      <c r="M589" t="s">
        <v>35</v>
      </c>
      <c r="N589" t="s">
        <v>35</v>
      </c>
      <c r="O589" t="str">
        <f t="shared" si="20"/>
        <v>True</v>
      </c>
      <c r="P589" s="3">
        <v>171170.1288688918</v>
      </c>
      <c r="Q589" s="3">
        <v>1888.504743754622</v>
      </c>
      <c r="R589" s="3">
        <v>1355.907489497625</v>
      </c>
      <c r="S589" s="3">
        <v>2739.922149247041</v>
      </c>
      <c r="T589" s="3">
        <v>129.9714660317546</v>
      </c>
      <c r="U589">
        <v>9.5241898725972898E-2</v>
      </c>
      <c r="V589" s="3">
        <v>-141452.5497583042</v>
      </c>
      <c r="W589">
        <v>115.1978956508664</v>
      </c>
      <c r="X589">
        <v>6.0422083523987027</v>
      </c>
      <c r="Y589">
        <v>3.6032866147496239</v>
      </c>
      <c r="Z589" s="5">
        <v>0.37357197603877129</v>
      </c>
      <c r="AA589">
        <v>10.07034725399784</v>
      </c>
      <c r="AB589">
        <v>35.662624829918158</v>
      </c>
      <c r="AC589">
        <v>16.302568078642729</v>
      </c>
      <c r="AD589" s="5">
        <v>0.31372091906459559</v>
      </c>
      <c r="AE589">
        <v>59.437708049863602</v>
      </c>
      <c r="AF589">
        <v>27.17094679773788</v>
      </c>
      <c r="AG589">
        <v>6.0054776912493706</v>
      </c>
      <c r="AH589" t="str">
        <f t="shared" si="19"/>
        <v>True</v>
      </c>
      <c r="AI589">
        <v>1</v>
      </c>
    </row>
    <row r="590" spans="1:35" x14ac:dyDescent="0.35">
      <c r="A590" t="s">
        <v>690</v>
      </c>
      <c r="B590" t="s">
        <v>677</v>
      </c>
      <c r="C590" t="s">
        <v>33</v>
      </c>
      <c r="D590" t="s">
        <v>52</v>
      </c>
      <c r="E590" t="s">
        <v>52</v>
      </c>
      <c r="F590" t="s">
        <v>52</v>
      </c>
      <c r="G590" t="s">
        <v>35</v>
      </c>
      <c r="H590" t="s">
        <v>37</v>
      </c>
      <c r="I590" t="s">
        <v>37</v>
      </c>
      <c r="J590" t="s">
        <v>35</v>
      </c>
      <c r="K590" t="s">
        <v>37</v>
      </c>
      <c r="L590" t="s">
        <v>37</v>
      </c>
      <c r="M590" t="s">
        <v>35</v>
      </c>
      <c r="N590" t="s">
        <v>35</v>
      </c>
      <c r="O590" t="str">
        <f t="shared" si="20"/>
        <v>True</v>
      </c>
      <c r="P590" s="3">
        <v>202494.7720245354</v>
      </c>
      <c r="Q590" s="3">
        <v>1746.618545913447</v>
      </c>
      <c r="R590" s="3">
        <v>1497.7936873388001</v>
      </c>
      <c r="S590" s="3">
        <v>2726.428978195383</v>
      </c>
      <c r="T590" s="3">
        <v>143.46463708341329</v>
      </c>
      <c r="U590">
        <v>8.8930559657559902E-2</v>
      </c>
      <c r="V590" s="3">
        <v>-169669.60553609111</v>
      </c>
      <c r="W590">
        <v>123.37775779191939</v>
      </c>
      <c r="X590">
        <v>5.665192681878735</v>
      </c>
      <c r="Y590">
        <v>3.980302285269592</v>
      </c>
      <c r="Z590" s="5">
        <v>0.4126592050305492</v>
      </c>
      <c r="AA590">
        <v>9.4419878031312248</v>
      </c>
      <c r="AB590">
        <v>33.957219504688943</v>
      </c>
      <c r="AC590">
        <v>18.007973403871951</v>
      </c>
      <c r="AD590" s="5">
        <v>0.34653914275963882</v>
      </c>
      <c r="AE590">
        <v>56.595365841148229</v>
      </c>
      <c r="AF590">
        <v>30.013289006453249</v>
      </c>
      <c r="AG590">
        <v>6.6338371421159854</v>
      </c>
      <c r="AH590" t="str">
        <f t="shared" si="19"/>
        <v>True</v>
      </c>
      <c r="AI590">
        <v>2</v>
      </c>
    </row>
    <row r="591" spans="1:35" x14ac:dyDescent="0.35">
      <c r="A591" t="s">
        <v>691</v>
      </c>
      <c r="B591" t="s">
        <v>677</v>
      </c>
      <c r="C591" t="s">
        <v>33</v>
      </c>
      <c r="D591" t="s">
        <v>52</v>
      </c>
      <c r="E591" t="s">
        <v>52</v>
      </c>
      <c r="F591" t="s">
        <v>52</v>
      </c>
      <c r="G591" t="s">
        <v>37</v>
      </c>
      <c r="H591" t="s">
        <v>35</v>
      </c>
      <c r="I591" t="s">
        <v>35</v>
      </c>
      <c r="J591" t="s">
        <v>37</v>
      </c>
      <c r="K591" t="s">
        <v>37</v>
      </c>
      <c r="L591" t="s">
        <v>37</v>
      </c>
      <c r="M591" t="s">
        <v>35</v>
      </c>
      <c r="N591" t="s">
        <v>35</v>
      </c>
      <c r="O591" t="str">
        <f t="shared" si="20"/>
        <v>True</v>
      </c>
      <c r="P591" s="3">
        <v>189815.74979487009</v>
      </c>
      <c r="Q591" s="3">
        <v>1876.6970865849109</v>
      </c>
      <c r="R591" s="3">
        <v>1367.7151466673361</v>
      </c>
      <c r="S591" s="3">
        <v>2738.805321550818</v>
      </c>
      <c r="T591" s="3">
        <v>131.0882937279784</v>
      </c>
      <c r="U591">
        <v>8.6633800822225202E-2</v>
      </c>
      <c r="V591" s="3">
        <v>-159839.68098696379</v>
      </c>
      <c r="W591">
        <v>126.6448586112169</v>
      </c>
      <c r="X591">
        <v>6.0108358318022219</v>
      </c>
      <c r="Y591">
        <v>3.6346591353461051</v>
      </c>
      <c r="Z591" s="5">
        <v>0.37682453287523571</v>
      </c>
      <c r="AA591">
        <v>10.01805971967037</v>
      </c>
      <c r="AB591">
        <v>35.520733047910767</v>
      </c>
      <c r="AC591">
        <v>16.44445986065011</v>
      </c>
      <c r="AD591" s="5">
        <v>0.31645143489770461</v>
      </c>
      <c r="AE591">
        <v>59.201221746517959</v>
      </c>
      <c r="AF591">
        <v>27.407433101083519</v>
      </c>
      <c r="AG591">
        <v>6.0577652255768388</v>
      </c>
      <c r="AH591" t="str">
        <f t="shared" si="19"/>
        <v>True</v>
      </c>
      <c r="AI591">
        <v>1</v>
      </c>
    </row>
    <row r="592" spans="1:35" x14ac:dyDescent="0.35">
      <c r="A592" t="s">
        <v>692</v>
      </c>
      <c r="B592" t="s">
        <v>677</v>
      </c>
      <c r="C592" t="s">
        <v>33</v>
      </c>
      <c r="D592" t="s">
        <v>39</v>
      </c>
      <c r="E592" t="s">
        <v>39</v>
      </c>
      <c r="F592" t="s">
        <v>39</v>
      </c>
      <c r="G592" t="s">
        <v>37</v>
      </c>
      <c r="H592" t="s">
        <v>35</v>
      </c>
      <c r="I592" t="s">
        <v>37</v>
      </c>
      <c r="J592" t="s">
        <v>35</v>
      </c>
      <c r="K592" t="s">
        <v>35</v>
      </c>
      <c r="L592" t="s">
        <v>37</v>
      </c>
      <c r="M592" t="s">
        <v>35</v>
      </c>
      <c r="N592" t="s">
        <v>35</v>
      </c>
      <c r="O592" t="str">
        <f t="shared" si="20"/>
        <v>True</v>
      </c>
      <c r="P592" s="3">
        <v>152912.4463571891</v>
      </c>
      <c r="Q592" s="3">
        <v>2143.1910621495772</v>
      </c>
      <c r="R592" s="3">
        <v>1101.22117110267</v>
      </c>
      <c r="S592" s="3">
        <v>2764.2536747310728</v>
      </c>
      <c r="T592" s="3">
        <v>105.6399405477232</v>
      </c>
      <c r="U592">
        <v>8.6590696373263595E-2</v>
      </c>
      <c r="V592" s="3">
        <v>-128775.2241241812</v>
      </c>
      <c r="W592">
        <v>126.7026046999559</v>
      </c>
      <c r="X592">
        <v>6.7189975482119646</v>
      </c>
      <c r="Y592">
        <v>2.9264974189363619</v>
      </c>
      <c r="Z592" s="5">
        <v>0.30340562396266291</v>
      </c>
      <c r="AA592">
        <v>11.19832924701994</v>
      </c>
      <c r="AB592">
        <v>38.724397694352568</v>
      </c>
      <c r="AC592">
        <v>13.240795214208321</v>
      </c>
      <c r="AD592" s="5">
        <v>0.25480123276954092</v>
      </c>
      <c r="AE592">
        <v>64.540662823920954</v>
      </c>
      <c r="AF592">
        <v>22.067992023680532</v>
      </c>
      <c r="AG592">
        <v>4.8774956982272686</v>
      </c>
      <c r="AH592" t="str">
        <f t="shared" si="19"/>
        <v>True</v>
      </c>
      <c r="AI592">
        <v>1</v>
      </c>
    </row>
    <row r="593" spans="1:35" x14ac:dyDescent="0.35">
      <c r="A593" t="s">
        <v>693</v>
      </c>
      <c r="B593" t="s">
        <v>694</v>
      </c>
      <c r="C593" t="s">
        <v>33</v>
      </c>
      <c r="D593" t="s">
        <v>39</v>
      </c>
      <c r="E593" t="s">
        <v>52</v>
      </c>
      <c r="F593" t="s">
        <v>39</v>
      </c>
      <c r="G593" t="s">
        <v>35</v>
      </c>
      <c r="H593" t="s">
        <v>35</v>
      </c>
      <c r="I593" t="s">
        <v>35</v>
      </c>
      <c r="J593" t="s">
        <v>35</v>
      </c>
      <c r="K593" t="s">
        <v>35</v>
      </c>
      <c r="L593" t="s">
        <v>35</v>
      </c>
      <c r="M593" t="s">
        <v>35</v>
      </c>
      <c r="N593" t="s">
        <v>35</v>
      </c>
      <c r="O593" t="str">
        <f t="shared" si="20"/>
        <v>False</v>
      </c>
      <c r="P593" s="3">
        <v>0</v>
      </c>
      <c r="Q593" s="3">
        <v>0</v>
      </c>
      <c r="R593" s="3">
        <v>0</v>
      </c>
      <c r="S593" s="3">
        <v>13724.82668304121</v>
      </c>
      <c r="T593" s="3">
        <v>0</v>
      </c>
      <c r="U593">
        <v>0</v>
      </c>
      <c r="V593" s="3">
        <v>0</v>
      </c>
      <c r="W593">
        <v>0</v>
      </c>
      <c r="X593">
        <v>5.4899306732164828</v>
      </c>
      <c r="Y593">
        <v>0</v>
      </c>
      <c r="Z593" s="5">
        <v>0</v>
      </c>
      <c r="AA593">
        <v>3.7861590849768838</v>
      </c>
      <c r="AB593">
        <v>69.492793331854216</v>
      </c>
      <c r="AC593">
        <v>0</v>
      </c>
      <c r="AD593" s="5">
        <v>0</v>
      </c>
      <c r="AE593">
        <v>47.926064366796012</v>
      </c>
      <c r="AF593">
        <v>0</v>
      </c>
      <c r="AG593">
        <v>-4.4408920985006262E-16</v>
      </c>
      <c r="AH593" t="str">
        <f t="shared" si="19"/>
        <v>False</v>
      </c>
      <c r="AI593">
        <v>0</v>
      </c>
    </row>
    <row r="594" spans="1:35" x14ac:dyDescent="0.35">
      <c r="A594" t="s">
        <v>695</v>
      </c>
      <c r="B594" t="s">
        <v>694</v>
      </c>
      <c r="C594" t="s">
        <v>33</v>
      </c>
      <c r="D594" t="s">
        <v>39</v>
      </c>
      <c r="E594" t="s">
        <v>52</v>
      </c>
      <c r="F594" t="s">
        <v>39</v>
      </c>
      <c r="G594" t="s">
        <v>35</v>
      </c>
      <c r="H594" t="s">
        <v>37</v>
      </c>
      <c r="I594" t="s">
        <v>35</v>
      </c>
      <c r="J594" t="s">
        <v>35</v>
      </c>
      <c r="K594" t="s">
        <v>35</v>
      </c>
      <c r="L594" t="s">
        <v>35</v>
      </c>
      <c r="M594" t="s">
        <v>35</v>
      </c>
      <c r="N594" t="s">
        <v>35</v>
      </c>
      <c r="O594" t="str">
        <f t="shared" si="20"/>
        <v>False</v>
      </c>
      <c r="P594" s="3">
        <v>166935.46343426831</v>
      </c>
      <c r="Q594" s="3">
        <v>0</v>
      </c>
      <c r="R594" s="3">
        <v>0</v>
      </c>
      <c r="S594" s="3">
        <v>12913.630517040079</v>
      </c>
      <c r="T594" s="3">
        <v>811.19616600113272</v>
      </c>
      <c r="U594">
        <v>2.4604252895111599E-2</v>
      </c>
      <c r="V594" s="3">
        <v>-150711.5401142457</v>
      </c>
      <c r="W594">
        <v>205.78926581617401</v>
      </c>
      <c r="X594">
        <v>5.1654522068160302</v>
      </c>
      <c r="Y594">
        <v>0.32447846640045253</v>
      </c>
      <c r="Z594" s="5">
        <v>5.9104292151351399E-2</v>
      </c>
      <c r="AA594">
        <v>3.5623808322869182</v>
      </c>
      <c r="AB594">
        <v>65.38547097235481</v>
      </c>
      <c r="AC594">
        <v>4.1073223594994062</v>
      </c>
      <c r="AD594" s="5">
        <v>5.9104292151351497E-2</v>
      </c>
      <c r="AE594">
        <v>45.093428256796422</v>
      </c>
      <c r="AF594">
        <v>2.8326361099995898</v>
      </c>
      <c r="AG594">
        <v>0.2237782526899661</v>
      </c>
      <c r="AH594" t="str">
        <f t="shared" si="19"/>
        <v>False</v>
      </c>
      <c r="AI594">
        <v>4</v>
      </c>
    </row>
    <row r="595" spans="1:35" x14ac:dyDescent="0.35">
      <c r="A595" t="s">
        <v>696</v>
      </c>
      <c r="B595" t="s">
        <v>694</v>
      </c>
      <c r="C595" t="s">
        <v>33</v>
      </c>
      <c r="D595" t="s">
        <v>39</v>
      </c>
      <c r="E595" t="s">
        <v>52</v>
      </c>
      <c r="F595" t="s">
        <v>39</v>
      </c>
      <c r="G595" t="s">
        <v>35</v>
      </c>
      <c r="H595" t="s">
        <v>35</v>
      </c>
      <c r="I595" t="s">
        <v>35</v>
      </c>
      <c r="J595" t="s">
        <v>35</v>
      </c>
      <c r="K595" t="s">
        <v>37</v>
      </c>
      <c r="L595" t="s">
        <v>35</v>
      </c>
      <c r="M595" t="s">
        <v>35</v>
      </c>
      <c r="N595" t="s">
        <v>35</v>
      </c>
      <c r="O595" t="str">
        <f t="shared" si="20"/>
        <v>False</v>
      </c>
      <c r="P595" s="3">
        <v>76467.483308186464</v>
      </c>
      <c r="Q595" s="3">
        <v>0</v>
      </c>
      <c r="R595" s="3">
        <v>0</v>
      </c>
      <c r="S595" s="3">
        <v>13370.981433214771</v>
      </c>
      <c r="T595" s="3">
        <v>353.84524982644268</v>
      </c>
      <c r="U595">
        <v>2.3429848094879802E-2</v>
      </c>
      <c r="V595" s="3">
        <v>-69390.578311657606</v>
      </c>
      <c r="W595">
        <v>216.10430928687879</v>
      </c>
      <c r="X595">
        <v>5.3483925732859063</v>
      </c>
      <c r="Y595">
        <v>0.14153809993057639</v>
      </c>
      <c r="Z595" s="5">
        <v>2.5781400231717499E-2</v>
      </c>
      <c r="AA595">
        <v>3.6885466022661419</v>
      </c>
      <c r="AB595">
        <v>67.701171813745646</v>
      </c>
      <c r="AC595">
        <v>1.79162151810857</v>
      </c>
      <c r="AD595" s="5">
        <v>2.5781400231717599E-2</v>
      </c>
      <c r="AE595">
        <v>46.690463319824588</v>
      </c>
      <c r="AF595">
        <v>1.235601046971428</v>
      </c>
      <c r="AG595">
        <v>9.7612482710741799E-2</v>
      </c>
      <c r="AH595" t="str">
        <f t="shared" si="19"/>
        <v>False</v>
      </c>
      <c r="AI595">
        <v>2</v>
      </c>
    </row>
    <row r="596" spans="1:35" x14ac:dyDescent="0.35">
      <c r="A596" t="s">
        <v>697</v>
      </c>
      <c r="B596" t="s">
        <v>694</v>
      </c>
      <c r="C596" t="s">
        <v>33</v>
      </c>
      <c r="D596" t="s">
        <v>39</v>
      </c>
      <c r="E596" t="s">
        <v>77</v>
      </c>
      <c r="F596" t="s">
        <v>39</v>
      </c>
      <c r="G596" t="s">
        <v>35</v>
      </c>
      <c r="H596" t="s">
        <v>37</v>
      </c>
      <c r="I596" t="s">
        <v>35</v>
      </c>
      <c r="J596" t="s">
        <v>35</v>
      </c>
      <c r="K596" t="s">
        <v>37</v>
      </c>
      <c r="L596" t="s">
        <v>35</v>
      </c>
      <c r="M596" t="s">
        <v>35</v>
      </c>
      <c r="N596" t="s">
        <v>35</v>
      </c>
      <c r="O596" t="str">
        <f t="shared" si="20"/>
        <v>True</v>
      </c>
      <c r="P596" s="3">
        <v>243402.94674245481</v>
      </c>
      <c r="Q596" s="3">
        <v>0</v>
      </c>
      <c r="R596" s="3">
        <v>0</v>
      </c>
      <c r="S596" s="3">
        <v>12614.346822099</v>
      </c>
      <c r="T596" s="3">
        <v>1110.4798609422071</v>
      </c>
      <c r="U596">
        <v>2.3100307187994201E-2</v>
      </c>
      <c r="V596" s="3">
        <v>-221193.3495236107</v>
      </c>
      <c r="W596">
        <v>219.18717781692601</v>
      </c>
      <c r="X596">
        <v>5.0457387288396003</v>
      </c>
      <c r="Y596">
        <v>0.44419194437688247</v>
      </c>
      <c r="Z596" s="5">
        <v>8.0910301207252899E-2</v>
      </c>
      <c r="AA596">
        <v>3.4798198129928282</v>
      </c>
      <c r="AB596">
        <v>63.87011049164051</v>
      </c>
      <c r="AC596">
        <v>5.6226828402137059</v>
      </c>
      <c r="AD596" s="5">
        <v>8.0910301207252899E-2</v>
      </c>
      <c r="AE596">
        <v>44.048352063200348</v>
      </c>
      <c r="AF596">
        <v>3.87771230359566</v>
      </c>
      <c r="AG596">
        <v>0.30633927198405608</v>
      </c>
      <c r="AH596" t="str">
        <f t="shared" si="19"/>
        <v>False</v>
      </c>
      <c r="AI596">
        <v>4</v>
      </c>
    </row>
    <row r="597" spans="1:35" x14ac:dyDescent="0.35">
      <c r="A597" t="s">
        <v>698</v>
      </c>
      <c r="B597" t="s">
        <v>694</v>
      </c>
      <c r="C597" t="s">
        <v>33</v>
      </c>
      <c r="D597" t="s">
        <v>39</v>
      </c>
      <c r="E597" t="s">
        <v>52</v>
      </c>
      <c r="F597" t="s">
        <v>39</v>
      </c>
      <c r="G597" t="s">
        <v>37</v>
      </c>
      <c r="H597" t="s">
        <v>35</v>
      </c>
      <c r="I597" t="s">
        <v>35</v>
      </c>
      <c r="J597" t="s">
        <v>35</v>
      </c>
      <c r="K597" t="s">
        <v>37</v>
      </c>
      <c r="L597" t="s">
        <v>35</v>
      </c>
      <c r="M597" t="s">
        <v>35</v>
      </c>
      <c r="N597" t="s">
        <v>35</v>
      </c>
      <c r="O597" t="str">
        <f t="shared" si="20"/>
        <v>True</v>
      </c>
      <c r="P597" s="3">
        <v>146023.92640579829</v>
      </c>
      <c r="Q597" s="3">
        <v>0</v>
      </c>
      <c r="R597" s="3">
        <v>0</v>
      </c>
      <c r="S597" s="3">
        <v>13407.889312957481</v>
      </c>
      <c r="T597" s="3">
        <v>316.93737008372511</v>
      </c>
      <c r="U597">
        <v>1.0989611203711501E-2</v>
      </c>
      <c r="V597" s="3">
        <v>-139685.17900412381</v>
      </c>
      <c r="W597">
        <v>460.73432857483249</v>
      </c>
      <c r="X597">
        <v>5.3631557251829927</v>
      </c>
      <c r="Y597">
        <v>0.1267749480334901</v>
      </c>
      <c r="Z597" s="5">
        <v>2.3092267567600099E-2</v>
      </c>
      <c r="AA597">
        <v>3.698728086333098</v>
      </c>
      <c r="AB597">
        <v>67.888047154215101</v>
      </c>
      <c r="AC597">
        <v>1.604746177639115</v>
      </c>
      <c r="AD597" s="5">
        <v>2.3092267567600099E-2</v>
      </c>
      <c r="AE597">
        <v>46.819342864975937</v>
      </c>
      <c r="AF597">
        <v>1.1067215018200789</v>
      </c>
      <c r="AG597">
        <v>8.7430998643785299E-2</v>
      </c>
      <c r="AH597" t="str">
        <f t="shared" si="19"/>
        <v>True</v>
      </c>
      <c r="AI597">
        <v>3</v>
      </c>
    </row>
    <row r="598" spans="1:35" x14ac:dyDescent="0.35">
      <c r="A598" t="s">
        <v>699</v>
      </c>
      <c r="B598" t="s">
        <v>694</v>
      </c>
      <c r="C598" t="s">
        <v>33</v>
      </c>
      <c r="D598" t="s">
        <v>39</v>
      </c>
      <c r="E598" t="s">
        <v>77</v>
      </c>
      <c r="F598" t="s">
        <v>39</v>
      </c>
      <c r="G598" t="s">
        <v>35</v>
      </c>
      <c r="H598" t="s">
        <v>37</v>
      </c>
      <c r="I598" t="s">
        <v>35</v>
      </c>
      <c r="J598" t="s">
        <v>37</v>
      </c>
      <c r="K598" t="s">
        <v>37</v>
      </c>
      <c r="L598" t="s">
        <v>35</v>
      </c>
      <c r="M598" t="s">
        <v>35</v>
      </c>
      <c r="N598" t="s">
        <v>35</v>
      </c>
      <c r="O598" t="str">
        <f t="shared" si="20"/>
        <v>True</v>
      </c>
      <c r="P598" s="3">
        <v>1230328.272410715</v>
      </c>
      <c r="Q598" s="3">
        <v>0</v>
      </c>
      <c r="R598" s="3">
        <v>0</v>
      </c>
      <c r="S598" s="3">
        <v>11681.02408606594</v>
      </c>
      <c r="T598" s="3">
        <v>2043.802596975265</v>
      </c>
      <c r="U598">
        <v>8.4110621625761994E-3</v>
      </c>
      <c r="V598" s="3">
        <v>-1189452.2204712101</v>
      </c>
      <c r="W598">
        <v>601.97999270161654</v>
      </c>
      <c r="X598">
        <v>4.6724096344263772</v>
      </c>
      <c r="Y598">
        <v>0.81752103879010551</v>
      </c>
      <c r="Z598" s="5">
        <v>0.14891281647298649</v>
      </c>
      <c r="AA598">
        <v>3.2223514720181909</v>
      </c>
      <c r="AB598">
        <v>59.144425752232621</v>
      </c>
      <c r="AC598">
        <v>10.348367579621589</v>
      </c>
      <c r="AD598" s="5">
        <v>0.1489128164729866</v>
      </c>
      <c r="AE598">
        <v>40.789259139470772</v>
      </c>
      <c r="AF598">
        <v>7.1368052273252376</v>
      </c>
      <c r="AG598">
        <v>0.56380761295869286</v>
      </c>
      <c r="AH598" t="str">
        <f t="shared" si="19"/>
        <v>True</v>
      </c>
      <c r="AI598">
        <v>4</v>
      </c>
    </row>
    <row r="599" spans="1:35" x14ac:dyDescent="0.35">
      <c r="A599" t="s">
        <v>700</v>
      </c>
      <c r="B599" t="s">
        <v>694</v>
      </c>
      <c r="C599" t="s">
        <v>33</v>
      </c>
      <c r="D599" t="s">
        <v>39</v>
      </c>
      <c r="E599" t="s">
        <v>77</v>
      </c>
      <c r="F599" t="s">
        <v>39</v>
      </c>
      <c r="G599" t="s">
        <v>35</v>
      </c>
      <c r="H599" t="s">
        <v>37</v>
      </c>
      <c r="I599" t="s">
        <v>37</v>
      </c>
      <c r="J599" t="s">
        <v>35</v>
      </c>
      <c r="K599" t="s">
        <v>37</v>
      </c>
      <c r="L599" t="s">
        <v>35</v>
      </c>
      <c r="M599" t="s">
        <v>35</v>
      </c>
      <c r="N599" t="s">
        <v>35</v>
      </c>
      <c r="O599" t="str">
        <f t="shared" si="20"/>
        <v>True</v>
      </c>
      <c r="P599" s="3">
        <v>1047564.323212889</v>
      </c>
      <c r="Q599" s="3">
        <v>0</v>
      </c>
      <c r="R599" s="3">
        <v>0</v>
      </c>
      <c r="S599" s="3">
        <v>12154.028321101479</v>
      </c>
      <c r="T599" s="3">
        <v>1570.798361939726</v>
      </c>
      <c r="U599">
        <v>7.5922874150102003E-3</v>
      </c>
      <c r="V599" s="3">
        <v>-1016148.355974094</v>
      </c>
      <c r="W599">
        <v>666.89929694049806</v>
      </c>
      <c r="X599">
        <v>4.8616113284405928</v>
      </c>
      <c r="Y599">
        <v>0.62831934477588991</v>
      </c>
      <c r="Z599" s="5">
        <v>0.11444941333070879</v>
      </c>
      <c r="AA599">
        <v>3.352835398924547</v>
      </c>
      <c r="AB599">
        <v>61.5393839043113</v>
      </c>
      <c r="AC599">
        <v>7.9534094275429146</v>
      </c>
      <c r="AD599" s="5">
        <v>0.1144494133307089</v>
      </c>
      <c r="AE599">
        <v>42.440954416766417</v>
      </c>
      <c r="AF599">
        <v>5.4851099500295968</v>
      </c>
      <c r="AG599">
        <v>0.43332368605233679</v>
      </c>
      <c r="AH599" t="str">
        <f t="shared" si="19"/>
        <v>True</v>
      </c>
      <c r="AI599">
        <v>4</v>
      </c>
    </row>
    <row r="600" spans="1:35" x14ac:dyDescent="0.35">
      <c r="A600" t="s">
        <v>701</v>
      </c>
      <c r="B600" t="s">
        <v>694</v>
      </c>
      <c r="C600" t="s">
        <v>33</v>
      </c>
      <c r="D600" t="s">
        <v>39</v>
      </c>
      <c r="E600" t="s">
        <v>77</v>
      </c>
      <c r="F600" t="s">
        <v>39</v>
      </c>
      <c r="G600" t="s">
        <v>35</v>
      </c>
      <c r="H600" t="s">
        <v>37</v>
      </c>
      <c r="I600" t="s">
        <v>35</v>
      </c>
      <c r="J600" t="s">
        <v>37</v>
      </c>
      <c r="K600" t="s">
        <v>35</v>
      </c>
      <c r="L600" t="s">
        <v>35</v>
      </c>
      <c r="M600" t="s">
        <v>35</v>
      </c>
      <c r="N600" t="s">
        <v>35</v>
      </c>
      <c r="O600" t="str">
        <f t="shared" si="20"/>
        <v>True</v>
      </c>
      <c r="P600" s="3">
        <v>1153860.7891025289</v>
      </c>
      <c r="Q600" s="3">
        <v>0</v>
      </c>
      <c r="R600" s="3">
        <v>0</v>
      </c>
      <c r="S600" s="3">
        <v>12029.91678204776</v>
      </c>
      <c r="T600" s="3">
        <v>1694.9099009934471</v>
      </c>
      <c r="U600">
        <v>7.4374849761433999E-3</v>
      </c>
      <c r="V600" s="3">
        <v>-1119962.59108266</v>
      </c>
      <c r="W600">
        <v>680.78001575553378</v>
      </c>
      <c r="X600">
        <v>4.8119667128191042</v>
      </c>
      <c r="Y600">
        <v>0.67796396039737861</v>
      </c>
      <c r="Z600" s="5">
        <v>0.1234922626081484</v>
      </c>
      <c r="AA600">
        <v>3.318597732978692</v>
      </c>
      <c r="AB600">
        <v>60.910971048343093</v>
      </c>
      <c r="AC600">
        <v>8.5818222835111229</v>
      </c>
      <c r="AD600" s="5">
        <v>0.1234922626081484</v>
      </c>
      <c r="AE600">
        <v>42.007566240236613</v>
      </c>
      <c r="AF600">
        <v>5.9184981265593946</v>
      </c>
      <c r="AG600">
        <v>0.46756135199819138</v>
      </c>
      <c r="AH600" t="str">
        <f t="shared" si="19"/>
        <v>True</v>
      </c>
      <c r="AI600">
        <v>4</v>
      </c>
    </row>
    <row r="601" spans="1:35" x14ac:dyDescent="0.35">
      <c r="A601" t="s">
        <v>702</v>
      </c>
      <c r="B601" t="s">
        <v>694</v>
      </c>
      <c r="C601" t="s">
        <v>33</v>
      </c>
      <c r="D601" t="s">
        <v>39</v>
      </c>
      <c r="E601" t="s">
        <v>77</v>
      </c>
      <c r="F601" t="s">
        <v>39</v>
      </c>
      <c r="G601" t="s">
        <v>35</v>
      </c>
      <c r="H601" t="s">
        <v>37</v>
      </c>
      <c r="I601" t="s">
        <v>37</v>
      </c>
      <c r="J601" t="s">
        <v>35</v>
      </c>
      <c r="K601" t="s">
        <v>35</v>
      </c>
      <c r="L601" t="s">
        <v>35</v>
      </c>
      <c r="M601" t="s">
        <v>35</v>
      </c>
      <c r="N601" t="s">
        <v>35</v>
      </c>
      <c r="O601" t="str">
        <f t="shared" si="20"/>
        <v>True</v>
      </c>
      <c r="P601" s="3">
        <v>971096.83990470297</v>
      </c>
      <c r="Q601" s="3">
        <v>0</v>
      </c>
      <c r="R601" s="3">
        <v>0</v>
      </c>
      <c r="S601" s="3">
        <v>12443.40567705361</v>
      </c>
      <c r="T601" s="3">
        <v>1281.421005987595</v>
      </c>
      <c r="U601">
        <v>6.6813188537307002E-3</v>
      </c>
      <c r="V601" s="3">
        <v>-945468.41978495102</v>
      </c>
      <c r="W601">
        <v>757.82809503444662</v>
      </c>
      <c r="X601">
        <v>4.9773622708214464</v>
      </c>
      <c r="Y601">
        <v>0.5125684023950372</v>
      </c>
      <c r="Z601" s="5">
        <v>9.3365186721880697E-2</v>
      </c>
      <c r="AA601">
        <v>3.432663635049273</v>
      </c>
      <c r="AB601">
        <v>63.004585706600572</v>
      </c>
      <c r="AC601">
        <v>6.4882076252536436</v>
      </c>
      <c r="AD601" s="5">
        <v>9.3365186721880794E-2</v>
      </c>
      <c r="AE601">
        <v>43.451438418345219</v>
      </c>
      <c r="AF601">
        <v>4.4746259484507886</v>
      </c>
      <c r="AG601">
        <v>0.35349544992761128</v>
      </c>
      <c r="AH601" t="str">
        <f t="shared" si="19"/>
        <v>True</v>
      </c>
      <c r="AI601">
        <v>4</v>
      </c>
    </row>
    <row r="602" spans="1:35" x14ac:dyDescent="0.35">
      <c r="A602" t="s">
        <v>703</v>
      </c>
      <c r="B602" t="s">
        <v>694</v>
      </c>
      <c r="C602" t="s">
        <v>33</v>
      </c>
      <c r="D602" t="s">
        <v>39</v>
      </c>
      <c r="E602" t="s">
        <v>77</v>
      </c>
      <c r="F602" t="s">
        <v>39</v>
      </c>
      <c r="G602" t="s">
        <v>35</v>
      </c>
      <c r="H602" t="s">
        <v>35</v>
      </c>
      <c r="I602" t="s">
        <v>35</v>
      </c>
      <c r="J602" t="s">
        <v>37</v>
      </c>
      <c r="K602" t="s">
        <v>37</v>
      </c>
      <c r="L602" t="s">
        <v>35</v>
      </c>
      <c r="M602" t="s">
        <v>35</v>
      </c>
      <c r="N602" t="s">
        <v>35</v>
      </c>
      <c r="O602" t="str">
        <f t="shared" si="20"/>
        <v>True</v>
      </c>
      <c r="P602" s="3">
        <v>1063392.808976447</v>
      </c>
      <c r="Q602" s="3">
        <v>0</v>
      </c>
      <c r="R602" s="3">
        <v>0</v>
      </c>
      <c r="S602" s="3">
        <v>12346.53199678585</v>
      </c>
      <c r="T602" s="3">
        <v>1378.294686255354</v>
      </c>
      <c r="U602">
        <v>6.5626805196249E-3</v>
      </c>
      <c r="V602" s="3">
        <v>-1035826.91525134</v>
      </c>
      <c r="W602">
        <v>771.52790298099887</v>
      </c>
      <c r="X602">
        <v>4.9386127987143418</v>
      </c>
      <c r="Y602">
        <v>0.55131787450214098</v>
      </c>
      <c r="Z602" s="5">
        <v>0.1004234674932845</v>
      </c>
      <c r="AA602">
        <v>3.4059398611823051</v>
      </c>
      <c r="AB602">
        <v>62.514086059675208</v>
      </c>
      <c r="AC602">
        <v>6.9787072721790082</v>
      </c>
      <c r="AD602" s="5">
        <v>0.1004234674932846</v>
      </c>
      <c r="AE602">
        <v>43.113162799776013</v>
      </c>
      <c r="AF602">
        <v>4.8129015670200053</v>
      </c>
      <c r="AG602">
        <v>0.38021922379457918</v>
      </c>
      <c r="AH602" t="str">
        <f t="shared" si="19"/>
        <v>True</v>
      </c>
      <c r="AI602">
        <v>4</v>
      </c>
    </row>
    <row r="603" spans="1:35" x14ac:dyDescent="0.35">
      <c r="A603" t="s">
        <v>704</v>
      </c>
      <c r="B603" t="s">
        <v>694</v>
      </c>
      <c r="C603" t="s">
        <v>33</v>
      </c>
      <c r="D603" t="s">
        <v>39</v>
      </c>
      <c r="E603" t="s">
        <v>77</v>
      </c>
      <c r="F603" t="s">
        <v>39</v>
      </c>
      <c r="G603" t="s">
        <v>37</v>
      </c>
      <c r="H603" t="s">
        <v>35</v>
      </c>
      <c r="I603" t="s">
        <v>35</v>
      </c>
      <c r="J603" t="s">
        <v>37</v>
      </c>
      <c r="K603" t="s">
        <v>37</v>
      </c>
      <c r="L603" t="s">
        <v>35</v>
      </c>
      <c r="M603" t="s">
        <v>35</v>
      </c>
      <c r="N603" t="s">
        <v>35</v>
      </c>
      <c r="O603" t="str">
        <f t="shared" si="20"/>
        <v>True</v>
      </c>
      <c r="P603" s="3">
        <v>1132949.2520740591</v>
      </c>
      <c r="Q603" s="3">
        <v>0</v>
      </c>
      <c r="R603" s="3">
        <v>0</v>
      </c>
      <c r="S603" s="3">
        <v>12388.410673939599</v>
      </c>
      <c r="T603" s="3">
        <v>1336.416009101607</v>
      </c>
      <c r="U603">
        <v>5.9726093863743E-3</v>
      </c>
      <c r="V603" s="3">
        <v>-1106220.9318920269</v>
      </c>
      <c r="W603">
        <v>847.7519308045953</v>
      </c>
      <c r="X603">
        <v>4.9553642695758402</v>
      </c>
      <c r="Y603">
        <v>0.53456640364064256</v>
      </c>
      <c r="Z603" s="5">
        <v>9.7372159223906296E-2</v>
      </c>
      <c r="AA603">
        <v>3.4174925997074759</v>
      </c>
      <c r="AB603">
        <v>62.726129994630888</v>
      </c>
      <c r="AC603">
        <v>6.7666633372233278</v>
      </c>
      <c r="AD603" s="5">
        <v>9.7372159223906296E-2</v>
      </c>
      <c r="AE603">
        <v>43.259399996297162</v>
      </c>
      <c r="AF603">
        <v>4.6666643704988466</v>
      </c>
      <c r="AG603">
        <v>0.36866648526940787</v>
      </c>
      <c r="AH603" t="str">
        <f t="shared" si="19"/>
        <v>True</v>
      </c>
      <c r="AI603">
        <v>4</v>
      </c>
    </row>
    <row r="604" spans="1:35" x14ac:dyDescent="0.35">
      <c r="A604" t="s">
        <v>705</v>
      </c>
      <c r="B604" t="s">
        <v>694</v>
      </c>
      <c r="C604" t="s">
        <v>33</v>
      </c>
      <c r="D604" t="s">
        <v>39</v>
      </c>
      <c r="E604" t="s">
        <v>52</v>
      </c>
      <c r="F604" t="s">
        <v>39</v>
      </c>
      <c r="G604" t="s">
        <v>35</v>
      </c>
      <c r="H604" t="s">
        <v>35</v>
      </c>
      <c r="I604" t="s">
        <v>35</v>
      </c>
      <c r="J604" t="s">
        <v>37</v>
      </c>
      <c r="K604" t="s">
        <v>35</v>
      </c>
      <c r="L604" t="s">
        <v>35</v>
      </c>
      <c r="M604" t="s">
        <v>35</v>
      </c>
      <c r="N604" t="s">
        <v>35</v>
      </c>
      <c r="O604" t="str">
        <f t="shared" si="20"/>
        <v>False</v>
      </c>
      <c r="P604" s="3">
        <v>986925.32566826057</v>
      </c>
      <c r="Q604" s="3">
        <v>0</v>
      </c>
      <c r="R604" s="3">
        <v>0</v>
      </c>
      <c r="S604" s="3">
        <v>12745.45393483368</v>
      </c>
      <c r="T604" s="3">
        <v>979.37274820752782</v>
      </c>
      <c r="U604">
        <v>5.0245436296359001E-3</v>
      </c>
      <c r="V604" s="3">
        <v>-967337.87070411001</v>
      </c>
      <c r="W604">
        <v>1007.711647556618</v>
      </c>
      <c r="X604">
        <v>5.0981815739334717</v>
      </c>
      <c r="Y604">
        <v>0.39174909928301099</v>
      </c>
      <c r="Z604" s="5">
        <v>7.1357749778921994E-2</v>
      </c>
      <c r="AA604">
        <v>3.5159872923679121</v>
      </c>
      <c r="AB604">
        <v>64.533943973841417</v>
      </c>
      <c r="AC604">
        <v>4.9588493580127988</v>
      </c>
      <c r="AD604" s="5">
        <v>7.1357749778921994E-2</v>
      </c>
      <c r="AE604">
        <v>44.506168257821663</v>
      </c>
      <c r="AF604">
        <v>3.4198961089743438</v>
      </c>
      <c r="AG604">
        <v>0.27017179260897223</v>
      </c>
      <c r="AH604" t="str">
        <f t="shared" si="19"/>
        <v>True</v>
      </c>
      <c r="AI604">
        <v>4</v>
      </c>
    </row>
    <row r="605" spans="1:35" x14ac:dyDescent="0.35">
      <c r="A605" t="s">
        <v>706</v>
      </c>
      <c r="B605" t="s">
        <v>694</v>
      </c>
      <c r="C605" t="s">
        <v>33</v>
      </c>
      <c r="D605" t="s">
        <v>39</v>
      </c>
      <c r="E605" t="s">
        <v>52</v>
      </c>
      <c r="F605" t="s">
        <v>39</v>
      </c>
      <c r="G605" t="s">
        <v>35</v>
      </c>
      <c r="H605" t="s">
        <v>35</v>
      </c>
      <c r="I605" t="s">
        <v>37</v>
      </c>
      <c r="J605" t="s">
        <v>35</v>
      </c>
      <c r="K605" t="s">
        <v>37</v>
      </c>
      <c r="L605" t="s">
        <v>35</v>
      </c>
      <c r="M605" t="s">
        <v>35</v>
      </c>
      <c r="N605" t="s">
        <v>35</v>
      </c>
      <c r="O605" t="str">
        <f t="shared" si="20"/>
        <v>True</v>
      </c>
      <c r="P605" s="3">
        <v>880628.859778621</v>
      </c>
      <c r="Q605" s="3">
        <v>0</v>
      </c>
      <c r="R605" s="3">
        <v>0</v>
      </c>
      <c r="S605" s="3">
        <v>12864.904978648679</v>
      </c>
      <c r="T605" s="3">
        <v>859.92170439252527</v>
      </c>
      <c r="U605">
        <v>4.9442326332408996E-3</v>
      </c>
      <c r="V605" s="3">
        <v>-863430.4256907705</v>
      </c>
      <c r="W605">
        <v>1024.0802799607479</v>
      </c>
      <c r="X605">
        <v>5.1459619914594734</v>
      </c>
      <c r="Y605">
        <v>0.34396868175700929</v>
      </c>
      <c r="Z605" s="5">
        <v>6.2654467284098195E-2</v>
      </c>
      <c r="AA605">
        <v>3.5489393044548092</v>
      </c>
      <c r="AB605">
        <v>65.138759385562949</v>
      </c>
      <c r="AC605">
        <v>4.3540339462912669</v>
      </c>
      <c r="AD605" s="5">
        <v>6.2654467284098306E-2</v>
      </c>
      <c r="AE605">
        <v>44.923282334870997</v>
      </c>
      <c r="AF605">
        <v>3.0027820319250118</v>
      </c>
      <c r="AG605">
        <v>0.2372197805220746</v>
      </c>
      <c r="AH605" t="str">
        <f t="shared" si="19"/>
        <v>True</v>
      </c>
      <c r="AI605">
        <v>4</v>
      </c>
    </row>
    <row r="606" spans="1:35" x14ac:dyDescent="0.35">
      <c r="A606" t="s">
        <v>707</v>
      </c>
      <c r="B606" t="s">
        <v>694</v>
      </c>
      <c r="C606" t="s">
        <v>33</v>
      </c>
      <c r="D606" t="s">
        <v>39</v>
      </c>
      <c r="E606" t="s">
        <v>52</v>
      </c>
      <c r="F606" t="s">
        <v>39</v>
      </c>
      <c r="G606" t="s">
        <v>37</v>
      </c>
      <c r="H606" t="s">
        <v>35</v>
      </c>
      <c r="I606" t="s">
        <v>35</v>
      </c>
      <c r="J606" t="s">
        <v>37</v>
      </c>
      <c r="K606" t="s">
        <v>35</v>
      </c>
      <c r="L606" t="s">
        <v>35</v>
      </c>
      <c r="M606" t="s">
        <v>35</v>
      </c>
      <c r="N606" t="s">
        <v>35</v>
      </c>
      <c r="O606" t="str">
        <f t="shared" si="20"/>
        <v>True</v>
      </c>
      <c r="P606" s="3">
        <v>1056481.7687658721</v>
      </c>
      <c r="Q606" s="3">
        <v>0</v>
      </c>
      <c r="R606" s="3">
        <v>0</v>
      </c>
      <c r="S606" s="3">
        <v>12790.446409606189</v>
      </c>
      <c r="T606" s="3">
        <v>934.38027343501358</v>
      </c>
      <c r="U606">
        <v>4.4781079040209998E-3</v>
      </c>
      <c r="V606" s="3">
        <v>-1037794.1632971721</v>
      </c>
      <c r="W606">
        <v>1130.676448125326</v>
      </c>
      <c r="X606">
        <v>5.1161785638424773</v>
      </c>
      <c r="Y606">
        <v>0.37375210937400549</v>
      </c>
      <c r="Z606" s="5">
        <v>6.8079568144169003E-2</v>
      </c>
      <c r="AA606">
        <v>3.5283990095465358</v>
      </c>
      <c r="AB606">
        <v>64.76175397268959</v>
      </c>
      <c r="AC606">
        <v>4.731039359164626</v>
      </c>
      <c r="AD606" s="5">
        <v>6.8079568144169003E-2</v>
      </c>
      <c r="AE606">
        <v>44.663278601854891</v>
      </c>
      <c r="AF606">
        <v>3.262785764941122</v>
      </c>
      <c r="AG606">
        <v>0.25776007543034801</v>
      </c>
      <c r="AH606" t="str">
        <f t="shared" si="19"/>
        <v>True</v>
      </c>
      <c r="AI606">
        <v>4</v>
      </c>
    </row>
    <row r="607" spans="1:35" x14ac:dyDescent="0.35">
      <c r="A607" t="s">
        <v>708</v>
      </c>
      <c r="B607" t="s">
        <v>694</v>
      </c>
      <c r="C607" t="s">
        <v>33</v>
      </c>
      <c r="D607" t="s">
        <v>39</v>
      </c>
      <c r="E607" t="s">
        <v>52</v>
      </c>
      <c r="F607" t="s">
        <v>39</v>
      </c>
      <c r="G607" t="s">
        <v>37</v>
      </c>
      <c r="H607" t="s">
        <v>35</v>
      </c>
      <c r="I607" t="s">
        <v>37</v>
      </c>
      <c r="J607" t="s">
        <v>35</v>
      </c>
      <c r="K607" t="s">
        <v>37</v>
      </c>
      <c r="L607" t="s">
        <v>35</v>
      </c>
      <c r="M607" t="s">
        <v>35</v>
      </c>
      <c r="N607" t="s">
        <v>35</v>
      </c>
      <c r="O607" t="str">
        <f t="shared" si="20"/>
        <v>True</v>
      </c>
      <c r="P607" s="3">
        <v>950185.30287623277</v>
      </c>
      <c r="Q607" s="3">
        <v>0</v>
      </c>
      <c r="R607" s="3">
        <v>0</v>
      </c>
      <c r="S607" s="3">
        <v>12902.235138595261</v>
      </c>
      <c r="T607" s="3">
        <v>822.59154444594378</v>
      </c>
      <c r="U607">
        <v>4.3833770798176004E-3</v>
      </c>
      <c r="V607" s="3">
        <v>-933733.47198731406</v>
      </c>
      <c r="W607">
        <v>1155.111925586629</v>
      </c>
      <c r="X607">
        <v>5.1608940554381064</v>
      </c>
      <c r="Y607">
        <v>0.32903661777837723</v>
      </c>
      <c r="Z607" s="5">
        <v>5.9934567003484297E-2</v>
      </c>
      <c r="AA607">
        <v>3.559237279612486</v>
      </c>
      <c r="AB607">
        <v>65.327772853646906</v>
      </c>
      <c r="AC607">
        <v>4.1650204782073104</v>
      </c>
      <c r="AD607" s="5">
        <v>5.9934567003484401E-2</v>
      </c>
      <c r="AE607">
        <v>45.053636450790968</v>
      </c>
      <c r="AF607">
        <v>2.8724279160050421</v>
      </c>
      <c r="AG607">
        <v>0.22692180536439729</v>
      </c>
      <c r="AH607" t="str">
        <f t="shared" si="19"/>
        <v>True</v>
      </c>
      <c r="AI607">
        <v>4</v>
      </c>
    </row>
    <row r="608" spans="1:35" x14ac:dyDescent="0.35">
      <c r="A608" t="s">
        <v>709</v>
      </c>
      <c r="B608" t="s">
        <v>694</v>
      </c>
      <c r="C608" t="s">
        <v>33</v>
      </c>
      <c r="D608" t="s">
        <v>39</v>
      </c>
      <c r="E608" t="s">
        <v>52</v>
      </c>
      <c r="F608" t="s">
        <v>39</v>
      </c>
      <c r="G608" t="s">
        <v>35</v>
      </c>
      <c r="H608" t="s">
        <v>35</v>
      </c>
      <c r="I608" t="s">
        <v>37</v>
      </c>
      <c r="J608" t="s">
        <v>35</v>
      </c>
      <c r="K608" t="s">
        <v>35</v>
      </c>
      <c r="L608" t="s">
        <v>35</v>
      </c>
      <c r="M608" t="s">
        <v>35</v>
      </c>
      <c r="N608" t="s">
        <v>35</v>
      </c>
      <c r="O608" t="str">
        <f t="shared" si="20"/>
        <v>False</v>
      </c>
      <c r="P608" s="3">
        <v>804161.3764704346</v>
      </c>
      <c r="Q608" s="3">
        <v>0</v>
      </c>
      <c r="R608" s="3">
        <v>0</v>
      </c>
      <c r="S608" s="3">
        <v>13198.655734301239</v>
      </c>
      <c r="T608" s="3">
        <v>526.17094873996837</v>
      </c>
      <c r="U608">
        <v>3.3129627714454002E-3</v>
      </c>
      <c r="V608" s="3">
        <v>-793637.95749563526</v>
      </c>
      <c r="W608">
        <v>1528.3272069584521</v>
      </c>
      <c r="X608">
        <v>5.2794622937204956</v>
      </c>
      <c r="Y608">
        <v>0.21046837949598721</v>
      </c>
      <c r="Z608" s="5">
        <v>3.8337165261993399E-2</v>
      </c>
      <c r="AA608">
        <v>3.6410084784279282</v>
      </c>
      <c r="AB608">
        <v>66.828636629373364</v>
      </c>
      <c r="AC608">
        <v>2.6641567024808519</v>
      </c>
      <c r="AD608" s="5">
        <v>3.8337165261993399E-2</v>
      </c>
      <c r="AE608">
        <v>46.088714916809217</v>
      </c>
      <c r="AF608">
        <v>1.8373494499867951</v>
      </c>
      <c r="AG608">
        <v>0.14515060654895559</v>
      </c>
      <c r="AH608" t="str">
        <f t="shared" si="19"/>
        <v>True</v>
      </c>
      <c r="AI608">
        <v>4</v>
      </c>
    </row>
    <row r="609" spans="1:35" x14ac:dyDescent="0.35">
      <c r="A609" t="s">
        <v>710</v>
      </c>
      <c r="B609" t="s">
        <v>711</v>
      </c>
      <c r="C609" t="s">
        <v>232</v>
      </c>
      <c r="D609" t="s">
        <v>283</v>
      </c>
      <c r="E609" t="s">
        <v>52</v>
      </c>
      <c r="F609" t="s">
        <v>283</v>
      </c>
      <c r="G609" t="s">
        <v>35</v>
      </c>
      <c r="H609" t="s">
        <v>35</v>
      </c>
      <c r="I609" t="s">
        <v>35</v>
      </c>
      <c r="J609" t="s">
        <v>35</v>
      </c>
      <c r="K609" t="s">
        <v>35</v>
      </c>
      <c r="L609" t="s">
        <v>35</v>
      </c>
      <c r="M609" t="s">
        <v>35</v>
      </c>
      <c r="N609" t="s">
        <v>35</v>
      </c>
      <c r="O609" t="str">
        <f t="shared" si="20"/>
        <v>False</v>
      </c>
      <c r="P609" s="3">
        <v>0</v>
      </c>
      <c r="Q609" s="3">
        <v>0</v>
      </c>
      <c r="R609" s="3">
        <v>0</v>
      </c>
      <c r="S609" s="3">
        <v>7749.2161321238127</v>
      </c>
      <c r="T609" s="3">
        <v>0</v>
      </c>
      <c r="U609">
        <v>0</v>
      </c>
      <c r="V609" s="3">
        <v>0</v>
      </c>
      <c r="W609">
        <v>0</v>
      </c>
      <c r="X609">
        <v>2.5863458996103978</v>
      </c>
      <c r="Y609">
        <v>0</v>
      </c>
      <c r="Z609" s="5">
        <v>0</v>
      </c>
      <c r="AA609">
        <v>9.9093712628750872</v>
      </c>
      <c r="AB609">
        <v>32.738555691270861</v>
      </c>
      <c r="AC609">
        <v>0</v>
      </c>
      <c r="AD609" s="5">
        <v>0</v>
      </c>
      <c r="AE609">
        <v>125.4350792768998</v>
      </c>
      <c r="AF609">
        <v>0</v>
      </c>
      <c r="AG609">
        <v>0</v>
      </c>
      <c r="AH609" t="str">
        <f t="shared" si="19"/>
        <v>False</v>
      </c>
      <c r="AI609">
        <v>0</v>
      </c>
    </row>
    <row r="610" spans="1:35" x14ac:dyDescent="0.35">
      <c r="A610" t="s">
        <v>712</v>
      </c>
      <c r="B610" t="s">
        <v>711</v>
      </c>
      <c r="C610" t="s">
        <v>232</v>
      </c>
      <c r="D610" t="s">
        <v>34</v>
      </c>
      <c r="E610" t="s">
        <v>52</v>
      </c>
      <c r="F610" t="s">
        <v>34</v>
      </c>
      <c r="G610" t="s">
        <v>37</v>
      </c>
      <c r="H610" t="s">
        <v>35</v>
      </c>
      <c r="I610" t="s">
        <v>35</v>
      </c>
      <c r="J610" t="s">
        <v>35</v>
      </c>
      <c r="K610" t="s">
        <v>35</v>
      </c>
      <c r="L610" t="s">
        <v>35</v>
      </c>
      <c r="M610" t="s">
        <v>35</v>
      </c>
      <c r="N610" t="s">
        <v>35</v>
      </c>
      <c r="O610" t="str">
        <f t="shared" si="20"/>
        <v>False</v>
      </c>
      <c r="P610" s="3">
        <v>6788</v>
      </c>
      <c r="Q610" s="3">
        <v>0</v>
      </c>
      <c r="R610" s="3">
        <v>0</v>
      </c>
      <c r="S610" s="3">
        <v>7128.644792102541</v>
      </c>
      <c r="T610" s="3">
        <v>620.57134002127168</v>
      </c>
      <c r="U610">
        <v>0.38623499708428999</v>
      </c>
      <c r="V610" s="3">
        <v>5623.4268004254336</v>
      </c>
      <c r="W610">
        <v>10.938307269825451</v>
      </c>
      <c r="X610">
        <v>2.3792266099539532</v>
      </c>
      <c r="Y610">
        <v>0.20711928965644469</v>
      </c>
      <c r="Z610" s="5">
        <v>8.0081821108168305E-2</v>
      </c>
      <c r="AA610">
        <v>9.1158107661070993</v>
      </c>
      <c r="AB610">
        <v>30.1167925310627</v>
      </c>
      <c r="AC610">
        <v>2.621763160208161</v>
      </c>
      <c r="AD610" s="5">
        <v>8.0081821108168305E-2</v>
      </c>
      <c r="AE610">
        <v>115.3900096975582</v>
      </c>
      <c r="AF610">
        <v>10.045069579341609</v>
      </c>
      <c r="AG610">
        <v>0.79356049676798612</v>
      </c>
      <c r="AH610" t="str">
        <f t="shared" si="19"/>
        <v>True</v>
      </c>
      <c r="AI610">
        <v>1</v>
      </c>
    </row>
    <row r="611" spans="1:35" x14ac:dyDescent="0.35">
      <c r="A611" t="s">
        <v>713</v>
      </c>
      <c r="B611" t="s">
        <v>711</v>
      </c>
      <c r="C611" t="s">
        <v>232</v>
      </c>
      <c r="D611" t="s">
        <v>34</v>
      </c>
      <c r="E611" t="s">
        <v>52</v>
      </c>
      <c r="F611" t="s">
        <v>34</v>
      </c>
      <c r="G611" t="s">
        <v>37</v>
      </c>
      <c r="H611" t="s">
        <v>35</v>
      </c>
      <c r="I611" t="s">
        <v>35</v>
      </c>
      <c r="J611" t="s">
        <v>35</v>
      </c>
      <c r="K611" t="s">
        <v>37</v>
      </c>
      <c r="L611" t="s">
        <v>35</v>
      </c>
      <c r="M611" t="s">
        <v>35</v>
      </c>
      <c r="N611" t="s">
        <v>35</v>
      </c>
      <c r="O611" t="str">
        <f t="shared" si="20"/>
        <v>True</v>
      </c>
      <c r="P611" s="3">
        <v>26094.599932147201</v>
      </c>
      <c r="Q611" s="3">
        <v>0</v>
      </c>
      <c r="R611" s="3">
        <v>0</v>
      </c>
      <c r="S611" s="3">
        <v>5448.3279386620516</v>
      </c>
      <c r="T611" s="3">
        <v>2300.8881934617598</v>
      </c>
      <c r="U611">
        <v>0.3725174443281688</v>
      </c>
      <c r="V611" s="3">
        <v>19923.163937088</v>
      </c>
      <c r="W611">
        <v>11.341098627172769</v>
      </c>
      <c r="X611">
        <v>1.818411099088729</v>
      </c>
      <c r="Y611">
        <v>0.76793480052166885</v>
      </c>
      <c r="Z611" s="5">
        <v>0.29691883078645792</v>
      </c>
      <c r="AA611">
        <v>6.9670923336732917</v>
      </c>
      <c r="AB611">
        <v>23.017862013781379</v>
      </c>
      <c r="AC611">
        <v>9.7206936774894821</v>
      </c>
      <c r="AD611" s="5">
        <v>0.29691883078645792</v>
      </c>
      <c r="AE611">
        <v>88.19104219839609</v>
      </c>
      <c r="AF611">
        <v>37.244037078503773</v>
      </c>
      <c r="AG611">
        <v>2.942278929201795</v>
      </c>
      <c r="AH611" t="str">
        <f t="shared" si="19"/>
        <v>True</v>
      </c>
      <c r="AI611">
        <v>1</v>
      </c>
    </row>
    <row r="612" spans="1:35" x14ac:dyDescent="0.35">
      <c r="A612" t="s">
        <v>714</v>
      </c>
      <c r="B612" t="s">
        <v>711</v>
      </c>
      <c r="C612" t="s">
        <v>232</v>
      </c>
      <c r="D612" t="s">
        <v>34</v>
      </c>
      <c r="E612" t="s">
        <v>52</v>
      </c>
      <c r="F612" t="s">
        <v>34</v>
      </c>
      <c r="G612" t="s">
        <v>35</v>
      </c>
      <c r="H612" t="s">
        <v>35</v>
      </c>
      <c r="I612" t="s">
        <v>35</v>
      </c>
      <c r="J612" t="s">
        <v>35</v>
      </c>
      <c r="K612" t="s">
        <v>37</v>
      </c>
      <c r="L612" t="s">
        <v>35</v>
      </c>
      <c r="M612" t="s">
        <v>35</v>
      </c>
      <c r="N612" t="s">
        <v>35</v>
      </c>
      <c r="O612" t="str">
        <f t="shared" si="20"/>
        <v>False</v>
      </c>
      <c r="P612" s="3">
        <v>19307.056113595259</v>
      </c>
      <c r="Q612" s="3">
        <v>0</v>
      </c>
      <c r="R612" s="3">
        <v>0</v>
      </c>
      <c r="S612" s="3">
        <v>6080.3657956776988</v>
      </c>
      <c r="T612" s="3">
        <v>1668.850336446113</v>
      </c>
      <c r="U612">
        <v>0.36517671192255041</v>
      </c>
      <c r="V612" s="3">
        <v>14069.950615326999</v>
      </c>
      <c r="W612">
        <v>11.56907584337997</v>
      </c>
      <c r="X612">
        <v>2.0293574054015142</v>
      </c>
      <c r="Y612">
        <v>0.55698849420888408</v>
      </c>
      <c r="Z612" s="5">
        <v>0.21535730943521039</v>
      </c>
      <c r="AA612">
        <v>7.7753157295077164</v>
      </c>
      <c r="AB612">
        <v>25.688068422803969</v>
      </c>
      <c r="AC612">
        <v>7.0504872684668918</v>
      </c>
      <c r="AD612" s="5">
        <v>0.2153573094352105</v>
      </c>
      <c r="AE612">
        <v>98.421718095034365</v>
      </c>
      <c r="AF612">
        <v>27.013361181865481</v>
      </c>
      <c r="AG612">
        <v>2.1340555333673721</v>
      </c>
      <c r="AH612" t="str">
        <f t="shared" si="19"/>
        <v>False</v>
      </c>
      <c r="AI612">
        <v>1</v>
      </c>
    </row>
    <row r="613" spans="1:35" x14ac:dyDescent="0.35">
      <c r="A613" t="s">
        <v>715</v>
      </c>
      <c r="B613" t="s">
        <v>711</v>
      </c>
      <c r="C613" t="s">
        <v>232</v>
      </c>
      <c r="D613" t="s">
        <v>34</v>
      </c>
      <c r="E613" t="s">
        <v>52</v>
      </c>
      <c r="F613" t="s">
        <v>34</v>
      </c>
      <c r="G613" t="s">
        <v>35</v>
      </c>
      <c r="H613" t="s">
        <v>37</v>
      </c>
      <c r="I613" t="s">
        <v>35</v>
      </c>
      <c r="J613" t="s">
        <v>35</v>
      </c>
      <c r="K613" t="s">
        <v>37</v>
      </c>
      <c r="L613" t="s">
        <v>35</v>
      </c>
      <c r="M613" t="s">
        <v>35</v>
      </c>
      <c r="N613" t="s">
        <v>35</v>
      </c>
      <c r="O613" t="str">
        <f t="shared" si="20"/>
        <v>True</v>
      </c>
      <c r="P613" s="3">
        <v>35597.161278119929</v>
      </c>
      <c r="Q613" s="3">
        <v>0</v>
      </c>
      <c r="R613" s="3">
        <v>0</v>
      </c>
      <c r="S613" s="3">
        <v>5563.4537580597043</v>
      </c>
      <c r="T613" s="3">
        <v>2185.7623740641079</v>
      </c>
      <c r="U613">
        <v>0.25941155771263719</v>
      </c>
      <c r="V613" s="3">
        <v>8118.086203162231</v>
      </c>
      <c r="W613">
        <v>16.28592462772253</v>
      </c>
      <c r="X613">
        <v>1.856835010083298</v>
      </c>
      <c r="Y613">
        <v>0.72951088952709964</v>
      </c>
      <c r="Z613" s="5">
        <v>0.2820623837039708</v>
      </c>
      <c r="AA613">
        <v>7.1143103834609116</v>
      </c>
      <c r="AB613">
        <v>23.5042406339658</v>
      </c>
      <c r="AC613">
        <v>9.2343150573050607</v>
      </c>
      <c r="AD613" s="5">
        <v>0.28206238370397091</v>
      </c>
      <c r="AE613">
        <v>90.054561815960923</v>
      </c>
      <c r="AF613">
        <v>35.380517460938933</v>
      </c>
      <c r="AG613">
        <v>2.7950608794141751</v>
      </c>
      <c r="AH613" t="str">
        <f t="shared" si="19"/>
        <v>False</v>
      </c>
      <c r="AI613">
        <v>1</v>
      </c>
    </row>
    <row r="614" spans="1:35" x14ac:dyDescent="0.35">
      <c r="A614" t="s">
        <v>716</v>
      </c>
      <c r="B614" t="s">
        <v>711</v>
      </c>
      <c r="C614" t="s">
        <v>232</v>
      </c>
      <c r="D614" t="s">
        <v>39</v>
      </c>
      <c r="E614" t="s">
        <v>52</v>
      </c>
      <c r="F614" t="s">
        <v>39</v>
      </c>
      <c r="G614" t="s">
        <v>37</v>
      </c>
      <c r="H614" t="s">
        <v>35</v>
      </c>
      <c r="I614" t="s">
        <v>35</v>
      </c>
      <c r="J614" t="s">
        <v>35</v>
      </c>
      <c r="K614" t="s">
        <v>37</v>
      </c>
      <c r="L614" t="s">
        <v>35</v>
      </c>
      <c r="M614" t="s">
        <v>37</v>
      </c>
      <c r="N614" t="s">
        <v>35</v>
      </c>
      <c r="O614" t="str">
        <f t="shared" si="20"/>
        <v>True</v>
      </c>
      <c r="P614" s="3">
        <v>52159.125685500803</v>
      </c>
      <c r="Q614" s="3">
        <v>0</v>
      </c>
      <c r="R614" s="3">
        <v>0</v>
      </c>
      <c r="S614" s="3">
        <v>4571.5513583718084</v>
      </c>
      <c r="T614" s="3">
        <v>3177.6647737520038</v>
      </c>
      <c r="U614">
        <v>0.25738279856335933</v>
      </c>
      <c r="V614" s="3">
        <v>11394.16978953927</v>
      </c>
      <c r="W614">
        <v>16.41429458397976</v>
      </c>
      <c r="X614">
        <v>1.5257818221857751</v>
      </c>
      <c r="Y614">
        <v>1.060564077424623</v>
      </c>
      <c r="Z614" s="5">
        <v>0.41006273661399439</v>
      </c>
      <c r="AA614">
        <v>5.8459073646964557</v>
      </c>
      <c r="AB614">
        <v>19.313693951718669</v>
      </c>
      <c r="AC614">
        <v>13.42486173955219</v>
      </c>
      <c r="AD614" s="5">
        <v>0.41006273661399439</v>
      </c>
      <c r="AE614">
        <v>73.99882740122095</v>
      </c>
      <c r="AF614">
        <v>51.436251875678899</v>
      </c>
      <c r="AG614">
        <v>4.0634638981786324</v>
      </c>
      <c r="AH614" t="str">
        <f t="shared" si="19"/>
        <v>True</v>
      </c>
      <c r="AI614">
        <v>1</v>
      </c>
    </row>
    <row r="615" spans="1:35" x14ac:dyDescent="0.35">
      <c r="A615" t="s">
        <v>717</v>
      </c>
      <c r="B615" t="s">
        <v>711</v>
      </c>
      <c r="C615" t="s">
        <v>232</v>
      </c>
      <c r="D615" t="s">
        <v>34</v>
      </c>
      <c r="E615" t="s">
        <v>52</v>
      </c>
      <c r="F615" t="s">
        <v>34</v>
      </c>
      <c r="G615" t="s">
        <v>35</v>
      </c>
      <c r="H615" t="s">
        <v>35</v>
      </c>
      <c r="I615" t="s">
        <v>35</v>
      </c>
      <c r="J615" t="s">
        <v>35</v>
      </c>
      <c r="K615" t="s">
        <v>37</v>
      </c>
      <c r="L615" t="s">
        <v>35</v>
      </c>
      <c r="M615" t="s">
        <v>37</v>
      </c>
      <c r="N615" t="s">
        <v>35</v>
      </c>
      <c r="O615" t="str">
        <f t="shared" si="20"/>
        <v>True</v>
      </c>
      <c r="P615" s="3">
        <v>45371.581866948851</v>
      </c>
      <c r="Q615" s="3">
        <v>0</v>
      </c>
      <c r="R615" s="3">
        <v>0</v>
      </c>
      <c r="S615" s="3">
        <v>5200.9081646679697</v>
      </c>
      <c r="T615" s="3">
        <v>2548.307967455843</v>
      </c>
      <c r="U615">
        <v>0.2372846983845554</v>
      </c>
      <c r="V615" s="3">
        <v>5594.5774821680016</v>
      </c>
      <c r="W615">
        <v>17.80459129994658</v>
      </c>
      <c r="X615">
        <v>1.7358333122465981</v>
      </c>
      <c r="Y615">
        <v>0.8505125873638002</v>
      </c>
      <c r="Z615" s="5">
        <v>0.32884719228465142</v>
      </c>
      <c r="AA615">
        <v>6.6507023457724044</v>
      </c>
      <c r="AB615">
        <v>21.972573572741741</v>
      </c>
      <c r="AC615">
        <v>10.76598211852912</v>
      </c>
      <c r="AD615" s="5">
        <v>0.32884719228465148</v>
      </c>
      <c r="AE615">
        <v>84.186105642688659</v>
      </c>
      <c r="AF615">
        <v>41.24897363421119</v>
      </c>
      <c r="AG615">
        <v>3.2586689171026828</v>
      </c>
      <c r="AH615" t="str">
        <f t="shared" si="19"/>
        <v>False</v>
      </c>
      <c r="AI615">
        <v>1</v>
      </c>
    </row>
    <row r="616" spans="1:35" x14ac:dyDescent="0.35">
      <c r="A616" t="s">
        <v>718</v>
      </c>
      <c r="B616" t="s">
        <v>711</v>
      </c>
      <c r="C616" t="s">
        <v>232</v>
      </c>
      <c r="D616" t="s">
        <v>34</v>
      </c>
      <c r="E616" t="s">
        <v>52</v>
      </c>
      <c r="F616" t="s">
        <v>34</v>
      </c>
      <c r="G616" t="s">
        <v>35</v>
      </c>
      <c r="H616" t="s">
        <v>37</v>
      </c>
      <c r="I616" t="s">
        <v>35</v>
      </c>
      <c r="J616" t="s">
        <v>35</v>
      </c>
      <c r="K616" t="s">
        <v>37</v>
      </c>
      <c r="L616" t="s">
        <v>35</v>
      </c>
      <c r="M616" t="s">
        <v>37</v>
      </c>
      <c r="N616" t="s">
        <v>35</v>
      </c>
      <c r="O616" t="str">
        <f t="shared" si="20"/>
        <v>True</v>
      </c>
      <c r="P616" s="3">
        <v>61661.687031473521</v>
      </c>
      <c r="Q616" s="3">
        <v>0</v>
      </c>
      <c r="R616" s="3">
        <v>0</v>
      </c>
      <c r="S616" s="3">
        <v>4682.8631938056824</v>
      </c>
      <c r="T616" s="3">
        <v>3066.3529383181299</v>
      </c>
      <c r="U616">
        <v>0.21009149925619061</v>
      </c>
      <c r="V616" s="3">
        <v>-334.62826511092129</v>
      </c>
      <c r="W616">
        <v>20.109129076737808</v>
      </c>
      <c r="X616">
        <v>1.562932793876844</v>
      </c>
      <c r="Y616">
        <v>1.023413105733554</v>
      </c>
      <c r="Z616" s="5">
        <v>0.39569846627541921</v>
      </c>
      <c r="AA616">
        <v>5.9882482524017009</v>
      </c>
      <c r="AB616">
        <v>19.783959416162581</v>
      </c>
      <c r="AC616">
        <v>12.95459627510828</v>
      </c>
      <c r="AD616" s="5">
        <v>0.39569846627541932</v>
      </c>
      <c r="AE616">
        <v>75.800610789894947</v>
      </c>
      <c r="AF616">
        <v>49.634468487004902</v>
      </c>
      <c r="AG616">
        <v>3.9211230104733859</v>
      </c>
      <c r="AH616" t="str">
        <f t="shared" si="19"/>
        <v>False</v>
      </c>
      <c r="AI616">
        <v>1</v>
      </c>
    </row>
    <row r="617" spans="1:35" x14ac:dyDescent="0.35">
      <c r="A617" t="s">
        <v>719</v>
      </c>
      <c r="B617" t="s">
        <v>711</v>
      </c>
      <c r="C617" t="s">
        <v>232</v>
      </c>
      <c r="D617" t="s">
        <v>34</v>
      </c>
      <c r="E617" t="s">
        <v>52</v>
      </c>
      <c r="F617" t="s">
        <v>34</v>
      </c>
      <c r="G617" t="s">
        <v>37</v>
      </c>
      <c r="H617" t="s">
        <v>35</v>
      </c>
      <c r="I617" t="s">
        <v>35</v>
      </c>
      <c r="J617" t="s">
        <v>35</v>
      </c>
      <c r="K617" t="s">
        <v>35</v>
      </c>
      <c r="L617" t="s">
        <v>35</v>
      </c>
      <c r="M617" t="s">
        <v>37</v>
      </c>
      <c r="N617" t="s">
        <v>35</v>
      </c>
      <c r="O617" t="str">
        <f t="shared" si="20"/>
        <v>True</v>
      </c>
      <c r="P617" s="3">
        <v>32852.069571905537</v>
      </c>
      <c r="Q617" s="3">
        <v>0</v>
      </c>
      <c r="R617" s="3">
        <v>0</v>
      </c>
      <c r="S617" s="3">
        <v>6258.9881957470652</v>
      </c>
      <c r="T617" s="3">
        <v>1490.227936376747</v>
      </c>
      <c r="U617">
        <v>0.19164244754742071</v>
      </c>
      <c r="V617" s="3">
        <v>-3047.5108443705899</v>
      </c>
      <c r="W617">
        <v>22.04499645321382</v>
      </c>
      <c r="X617">
        <v>2.0889736690495071</v>
      </c>
      <c r="Y617">
        <v>0.49737223056089119</v>
      </c>
      <c r="Z617" s="5">
        <v>0.19230692639983479</v>
      </c>
      <c r="AA617">
        <v>8.0037305327567303</v>
      </c>
      <c r="AB617">
        <v>26.44270467151274</v>
      </c>
      <c r="AC617">
        <v>6.2958510197581212</v>
      </c>
      <c r="AD617" s="5">
        <v>0.1923069263998349</v>
      </c>
      <c r="AE617">
        <v>101.3130447184396</v>
      </c>
      <c r="AF617">
        <v>24.122034558460228</v>
      </c>
      <c r="AG617">
        <v>1.9056407301183571</v>
      </c>
      <c r="AH617" t="str">
        <f t="shared" si="19"/>
        <v>True</v>
      </c>
      <c r="AI617">
        <v>1</v>
      </c>
    </row>
    <row r="618" spans="1:35" x14ac:dyDescent="0.35">
      <c r="A618" t="s">
        <v>720</v>
      </c>
      <c r="B618" t="s">
        <v>711</v>
      </c>
      <c r="C618" t="s">
        <v>232</v>
      </c>
      <c r="D618" t="s">
        <v>34</v>
      </c>
      <c r="E618" t="s">
        <v>52</v>
      </c>
      <c r="F618" t="s">
        <v>34</v>
      </c>
      <c r="G618" t="s">
        <v>35</v>
      </c>
      <c r="H618" t="s">
        <v>35</v>
      </c>
      <c r="I618" t="s">
        <v>35</v>
      </c>
      <c r="J618" t="s">
        <v>35</v>
      </c>
      <c r="K618" t="s">
        <v>35</v>
      </c>
      <c r="L618" t="s">
        <v>35</v>
      </c>
      <c r="M618" t="s">
        <v>37</v>
      </c>
      <c r="N618" t="s">
        <v>35</v>
      </c>
      <c r="O618" t="str">
        <f t="shared" si="20"/>
        <v>False</v>
      </c>
      <c r="P618" s="3">
        <v>26064.525753353591</v>
      </c>
      <c r="Q618" s="3">
        <v>0</v>
      </c>
      <c r="R618" s="3">
        <v>0</v>
      </c>
      <c r="S618" s="3">
        <v>6868.9700301803587</v>
      </c>
      <c r="T618" s="3">
        <v>880.24610194345382</v>
      </c>
      <c r="U618">
        <v>0.14267767552765029</v>
      </c>
      <c r="V618" s="3">
        <v>-8459.6037144845141</v>
      </c>
      <c r="W618">
        <v>29.61049835472938</v>
      </c>
      <c r="X618">
        <v>2.2925586497010921</v>
      </c>
      <c r="Y618">
        <v>0.29378724990930621</v>
      </c>
      <c r="Z618" s="5">
        <v>0.11359163132571</v>
      </c>
      <c r="AA618">
        <v>8.7837496157129955</v>
      </c>
      <c r="AB618">
        <v>29.019729743051791</v>
      </c>
      <c r="AC618">
        <v>3.7188259482190702</v>
      </c>
      <c r="AD618" s="5">
        <v>0.11359163132571019</v>
      </c>
      <c r="AE618">
        <v>111.186703996367</v>
      </c>
      <c r="AF618">
        <v>14.248375280532841</v>
      </c>
      <c r="AG618">
        <v>1.1256216471620919</v>
      </c>
      <c r="AH618" t="str">
        <f t="shared" si="19"/>
        <v>False</v>
      </c>
      <c r="AI618">
        <v>1</v>
      </c>
    </row>
    <row r="619" spans="1:35" x14ac:dyDescent="0.35">
      <c r="A619" t="s">
        <v>721</v>
      </c>
      <c r="B619" t="s">
        <v>711</v>
      </c>
      <c r="C619" t="s">
        <v>232</v>
      </c>
      <c r="D619" t="s">
        <v>34</v>
      </c>
      <c r="E619" t="s">
        <v>52</v>
      </c>
      <c r="F619" t="s">
        <v>34</v>
      </c>
      <c r="G619" t="s">
        <v>35</v>
      </c>
      <c r="H619" t="s">
        <v>37</v>
      </c>
      <c r="I619" t="s">
        <v>35</v>
      </c>
      <c r="J619" t="s">
        <v>35</v>
      </c>
      <c r="K619" t="s">
        <v>35</v>
      </c>
      <c r="L619" t="s">
        <v>35</v>
      </c>
      <c r="M619" t="s">
        <v>37</v>
      </c>
      <c r="N619" t="s">
        <v>35</v>
      </c>
      <c r="O619" t="str">
        <f t="shared" si="20"/>
        <v>True</v>
      </c>
      <c r="P619" s="3">
        <v>42354.630917878261</v>
      </c>
      <c r="Q619" s="3">
        <v>0</v>
      </c>
      <c r="R619" s="3">
        <v>0</v>
      </c>
      <c r="S619" s="3">
        <v>6374.0951028298687</v>
      </c>
      <c r="T619" s="3">
        <v>1375.121029293944</v>
      </c>
      <c r="U619">
        <v>0.13716451244195421</v>
      </c>
      <c r="V619" s="3">
        <v>-14852.210331999389</v>
      </c>
      <c r="W619">
        <v>30.800656826276061</v>
      </c>
      <c r="X619">
        <v>2.127391267949132</v>
      </c>
      <c r="Y619">
        <v>0.45895463166126538</v>
      </c>
      <c r="Z619" s="5">
        <v>0.17745291986288511</v>
      </c>
      <c r="AA619">
        <v>8.1509243982725366</v>
      </c>
      <c r="AB619">
        <v>26.929003391761171</v>
      </c>
      <c r="AC619">
        <v>5.80955229950969</v>
      </c>
      <c r="AD619" s="5">
        <v>0.17745291986288511</v>
      </c>
      <c r="AE619">
        <v>103.1762582059815</v>
      </c>
      <c r="AF619">
        <v>22.258821070918351</v>
      </c>
      <c r="AG619">
        <v>1.7584468646025511</v>
      </c>
      <c r="AH619" t="str">
        <f t="shared" si="19"/>
        <v>False</v>
      </c>
      <c r="AI619">
        <v>1</v>
      </c>
    </row>
    <row r="620" spans="1:35" x14ac:dyDescent="0.35">
      <c r="A620" t="s">
        <v>722</v>
      </c>
      <c r="B620" t="s">
        <v>711</v>
      </c>
      <c r="C620" t="s">
        <v>232</v>
      </c>
      <c r="D620" t="s">
        <v>34</v>
      </c>
      <c r="E620" t="s">
        <v>52</v>
      </c>
      <c r="F620" t="s">
        <v>34</v>
      </c>
      <c r="G620" t="s">
        <v>35</v>
      </c>
      <c r="H620" t="s">
        <v>37</v>
      </c>
      <c r="I620" t="s">
        <v>35</v>
      </c>
      <c r="J620" t="s">
        <v>35</v>
      </c>
      <c r="K620" t="s">
        <v>35</v>
      </c>
      <c r="L620" t="s">
        <v>35</v>
      </c>
      <c r="M620" t="s">
        <v>35</v>
      </c>
      <c r="N620" t="s">
        <v>35</v>
      </c>
      <c r="O620" t="str">
        <f t="shared" si="20"/>
        <v>False</v>
      </c>
      <c r="P620" s="3">
        <v>16290.1044</v>
      </c>
      <c r="Q620" s="3">
        <v>0</v>
      </c>
      <c r="R620" s="3">
        <v>0</v>
      </c>
      <c r="S620" s="3">
        <v>7249.8246806936986</v>
      </c>
      <c r="T620" s="3">
        <v>499.39145143011422</v>
      </c>
      <c r="U620">
        <v>0.12951467446439771</v>
      </c>
      <c r="V620" s="3">
        <v>-6302.2753713977163</v>
      </c>
      <c r="W620">
        <v>32.619910399647019</v>
      </c>
      <c r="X620">
        <v>2.4196711017101911</v>
      </c>
      <c r="Y620">
        <v>0.16667479790020681</v>
      </c>
      <c r="Z620" s="5">
        <v>6.4444124788302401E-2</v>
      </c>
      <c r="AA620">
        <v>9.2707705046367472</v>
      </c>
      <c r="AB620">
        <v>30.628748122913809</v>
      </c>
      <c r="AC620">
        <v>2.1098075683570521</v>
      </c>
      <c r="AD620" s="5">
        <v>6.4444124788302498E-2</v>
      </c>
      <c r="AE620">
        <v>117.3515253751487</v>
      </c>
      <c r="AF620">
        <v>8.0835539017511557</v>
      </c>
      <c r="AG620">
        <v>0.63860075823833995</v>
      </c>
      <c r="AH620" t="str">
        <f t="shared" si="19"/>
        <v>False</v>
      </c>
      <c r="AI620">
        <v>1</v>
      </c>
    </row>
    <row r="621" spans="1:35" x14ac:dyDescent="0.35">
      <c r="A621" t="s">
        <v>723</v>
      </c>
      <c r="B621" t="s">
        <v>724</v>
      </c>
      <c r="C621" t="s">
        <v>33</v>
      </c>
      <c r="D621" t="s">
        <v>283</v>
      </c>
      <c r="E621" t="s">
        <v>39</v>
      </c>
      <c r="F621" t="s">
        <v>283</v>
      </c>
      <c r="G621" t="s">
        <v>35</v>
      </c>
      <c r="H621" t="s">
        <v>35</v>
      </c>
      <c r="I621" t="s">
        <v>35</v>
      </c>
      <c r="J621" t="s">
        <v>35</v>
      </c>
      <c r="K621" t="s">
        <v>35</v>
      </c>
      <c r="L621" t="s">
        <v>35</v>
      </c>
      <c r="M621" t="s">
        <v>35</v>
      </c>
      <c r="N621" t="s">
        <v>35</v>
      </c>
      <c r="O621" t="str">
        <f t="shared" si="20"/>
        <v>False</v>
      </c>
      <c r="P621" s="3">
        <v>0</v>
      </c>
      <c r="Q621" s="3">
        <v>0</v>
      </c>
      <c r="R621" s="3">
        <v>0</v>
      </c>
      <c r="S621" s="3">
        <v>7224.1276218323619</v>
      </c>
      <c r="T621" s="3">
        <v>0</v>
      </c>
      <c r="U621">
        <v>0</v>
      </c>
      <c r="V621" s="3">
        <v>0</v>
      </c>
      <c r="W621">
        <v>0</v>
      </c>
      <c r="X621">
        <v>2.411094559039952</v>
      </c>
      <c r="Y621">
        <v>0</v>
      </c>
      <c r="Z621" s="5">
        <v>0</v>
      </c>
      <c r="AA621">
        <v>10.95952072290887</v>
      </c>
      <c r="AB621">
        <v>30.520184291644959</v>
      </c>
      <c r="AC621">
        <v>0</v>
      </c>
      <c r="AD621" s="5">
        <v>0</v>
      </c>
      <c r="AE621">
        <v>138.728110416568</v>
      </c>
      <c r="AF621">
        <v>0</v>
      </c>
      <c r="AG621">
        <v>-1.7763568394002501E-15</v>
      </c>
      <c r="AH621" t="str">
        <f t="shared" si="19"/>
        <v>False</v>
      </c>
      <c r="AI621">
        <v>0</v>
      </c>
    </row>
    <row r="622" spans="1:35" x14ac:dyDescent="0.35">
      <c r="A622" t="s">
        <v>725</v>
      </c>
      <c r="B622" t="s">
        <v>724</v>
      </c>
      <c r="C622" t="s">
        <v>33</v>
      </c>
      <c r="D622" t="s">
        <v>283</v>
      </c>
      <c r="E622" t="s">
        <v>52</v>
      </c>
      <c r="F622" t="s">
        <v>283</v>
      </c>
      <c r="G622" t="s">
        <v>35</v>
      </c>
      <c r="H622" t="s">
        <v>35</v>
      </c>
      <c r="I622" t="s">
        <v>35</v>
      </c>
      <c r="J622" t="s">
        <v>35</v>
      </c>
      <c r="K622" t="s">
        <v>37</v>
      </c>
      <c r="L622" t="s">
        <v>35</v>
      </c>
      <c r="M622" t="s">
        <v>35</v>
      </c>
      <c r="N622" t="s">
        <v>35</v>
      </c>
      <c r="O622" t="str">
        <f t="shared" si="20"/>
        <v>False</v>
      </c>
      <c r="P622" s="3">
        <v>11928.91698947437</v>
      </c>
      <c r="Q622" s="3">
        <v>0</v>
      </c>
      <c r="R622" s="3">
        <v>0</v>
      </c>
      <c r="S622" s="3">
        <v>6151.6965854730961</v>
      </c>
      <c r="T622" s="3">
        <v>1072.431036359266</v>
      </c>
      <c r="U622">
        <v>0.37981323986750881</v>
      </c>
      <c r="V622" s="3">
        <v>9519.7037377109446</v>
      </c>
      <c r="W622">
        <v>11.12324856801157</v>
      </c>
      <c r="X622">
        <v>2.0531644708592078</v>
      </c>
      <c r="Y622">
        <v>0.35793008818074368</v>
      </c>
      <c r="Z622" s="5">
        <v>0.14845128609276281</v>
      </c>
      <c r="AA622">
        <v>9.3325657766327659</v>
      </c>
      <c r="AB622">
        <v>25.98942368176213</v>
      </c>
      <c r="AC622">
        <v>4.5307606098828286</v>
      </c>
      <c r="AD622" s="5">
        <v>0.14845128609276281</v>
      </c>
      <c r="AE622">
        <v>118.1337440080097</v>
      </c>
      <c r="AF622">
        <v>20.594366408558319</v>
      </c>
      <c r="AG622">
        <v>1.6269549462761039</v>
      </c>
      <c r="AH622" t="str">
        <f t="shared" si="19"/>
        <v>False</v>
      </c>
      <c r="AI622">
        <v>1</v>
      </c>
    </row>
    <row r="623" spans="1:35" x14ac:dyDescent="0.35">
      <c r="A623" t="s">
        <v>726</v>
      </c>
      <c r="B623" t="s">
        <v>724</v>
      </c>
      <c r="C623" t="s">
        <v>33</v>
      </c>
      <c r="D623" t="s">
        <v>34</v>
      </c>
      <c r="E623" t="s">
        <v>52</v>
      </c>
      <c r="F623" t="s">
        <v>34</v>
      </c>
      <c r="G623" t="s">
        <v>37</v>
      </c>
      <c r="H623" t="s">
        <v>35</v>
      </c>
      <c r="I623" t="s">
        <v>35</v>
      </c>
      <c r="J623" t="s">
        <v>35</v>
      </c>
      <c r="K623" t="s">
        <v>37</v>
      </c>
      <c r="L623" t="s">
        <v>35</v>
      </c>
      <c r="M623" t="s">
        <v>35</v>
      </c>
      <c r="N623" t="s">
        <v>35</v>
      </c>
      <c r="O623" t="str">
        <f t="shared" si="20"/>
        <v>True</v>
      </c>
      <c r="P623" s="3">
        <v>15667.1957354728</v>
      </c>
      <c r="Q623" s="3">
        <v>0</v>
      </c>
      <c r="R623" s="3">
        <v>0</v>
      </c>
      <c r="S623" s="3">
        <v>5915.8247366030691</v>
      </c>
      <c r="T623" s="3">
        <v>1308.302885229293</v>
      </c>
      <c r="U623">
        <v>0.35279203540053877</v>
      </c>
      <c r="V623" s="3">
        <v>10498.86196911305</v>
      </c>
      <c r="W623">
        <v>11.975205368997541</v>
      </c>
      <c r="X623">
        <v>1.9744408711096011</v>
      </c>
      <c r="Y623">
        <v>0.43665368793035131</v>
      </c>
      <c r="Z623" s="5">
        <v>0.18110185114606939</v>
      </c>
      <c r="AA623">
        <v>8.9747312323163673</v>
      </c>
      <c r="AB623">
        <v>24.992922419108869</v>
      </c>
      <c r="AC623">
        <v>5.5272618725360907</v>
      </c>
      <c r="AD623" s="5">
        <v>0.18110185114606939</v>
      </c>
      <c r="AE623">
        <v>113.6041928141312</v>
      </c>
      <c r="AF623">
        <v>25.12391760243678</v>
      </c>
      <c r="AG623">
        <v>1.984789490592503</v>
      </c>
      <c r="AH623" t="str">
        <f t="shared" si="19"/>
        <v>True</v>
      </c>
      <c r="AI623">
        <v>1</v>
      </c>
    </row>
    <row r="624" spans="1:35" x14ac:dyDescent="0.35">
      <c r="A624" t="s">
        <v>727</v>
      </c>
      <c r="B624" t="s">
        <v>724</v>
      </c>
      <c r="C624" t="s">
        <v>33</v>
      </c>
      <c r="D624" t="s">
        <v>283</v>
      </c>
      <c r="E624" t="s">
        <v>39</v>
      </c>
      <c r="F624" t="s">
        <v>283</v>
      </c>
      <c r="G624" t="s">
        <v>37</v>
      </c>
      <c r="H624" t="s">
        <v>35</v>
      </c>
      <c r="I624" t="s">
        <v>35</v>
      </c>
      <c r="J624" t="s">
        <v>35</v>
      </c>
      <c r="K624" t="s">
        <v>35</v>
      </c>
      <c r="L624" t="s">
        <v>35</v>
      </c>
      <c r="M624" t="s">
        <v>35</v>
      </c>
      <c r="N624" t="s">
        <v>35</v>
      </c>
      <c r="O624" t="str">
        <f t="shared" si="20"/>
        <v>False</v>
      </c>
      <c r="P624" s="3">
        <v>3738.2787459984329</v>
      </c>
      <c r="Q624" s="3">
        <v>0</v>
      </c>
      <c r="R624" s="3">
        <v>0</v>
      </c>
      <c r="S624" s="3">
        <v>6949.6136222964215</v>
      </c>
      <c r="T624" s="3">
        <v>274.51399953594102</v>
      </c>
      <c r="U624">
        <v>0.31023768983799438</v>
      </c>
      <c r="V624" s="3">
        <v>1752.0012447203869</v>
      </c>
      <c r="W624">
        <v>13.617807296960811</v>
      </c>
      <c r="X624">
        <v>2.319473917031758</v>
      </c>
      <c r="Y624">
        <v>9.1620642008193504E-2</v>
      </c>
      <c r="Z624" s="5">
        <v>3.79996054757284E-2</v>
      </c>
      <c r="AA624">
        <v>10.54306325923527</v>
      </c>
      <c r="AB624">
        <v>29.360429329515931</v>
      </c>
      <c r="AC624">
        <v>1.159754962129028</v>
      </c>
      <c r="AD624" s="5">
        <v>3.7999605475728199E-2</v>
      </c>
      <c r="AE624">
        <v>133.45649695234511</v>
      </c>
      <c r="AF624">
        <v>5.271613464222856</v>
      </c>
      <c r="AG624">
        <v>0.41645746367360381</v>
      </c>
      <c r="AH624" t="str">
        <f t="shared" si="19"/>
        <v>True</v>
      </c>
      <c r="AI624">
        <v>1</v>
      </c>
    </row>
    <row r="625" spans="1:35" x14ac:dyDescent="0.35">
      <c r="A625" t="s">
        <v>728</v>
      </c>
      <c r="B625" t="s">
        <v>724</v>
      </c>
      <c r="C625" t="s">
        <v>33</v>
      </c>
      <c r="D625" t="s">
        <v>34</v>
      </c>
      <c r="E625" t="s">
        <v>52</v>
      </c>
      <c r="F625" t="s">
        <v>34</v>
      </c>
      <c r="G625" t="s">
        <v>35</v>
      </c>
      <c r="H625" t="s">
        <v>37</v>
      </c>
      <c r="I625" t="s">
        <v>35</v>
      </c>
      <c r="J625" t="s">
        <v>35</v>
      </c>
      <c r="K625" t="s">
        <v>37</v>
      </c>
      <c r="L625" t="s">
        <v>35</v>
      </c>
      <c r="M625" t="s">
        <v>35</v>
      </c>
      <c r="N625" t="s">
        <v>35</v>
      </c>
      <c r="O625" t="str">
        <f t="shared" si="20"/>
        <v>True</v>
      </c>
      <c r="P625" s="3">
        <v>20900.785979870609</v>
      </c>
      <c r="Q625" s="3">
        <v>0</v>
      </c>
      <c r="R625" s="3">
        <v>0</v>
      </c>
      <c r="S625" s="3">
        <v>5961.0379218985718</v>
      </c>
      <c r="T625" s="3">
        <v>1263.089699933789</v>
      </c>
      <c r="U625">
        <v>0.25531322856224398</v>
      </c>
      <c r="V625" s="3">
        <v>4361.0080188051761</v>
      </c>
      <c r="W625">
        <v>16.54734891826465</v>
      </c>
      <c r="X625">
        <v>1.989531034347221</v>
      </c>
      <c r="Y625">
        <v>0.42156352469273101</v>
      </c>
      <c r="Z625" s="5">
        <v>0.17484321513320861</v>
      </c>
      <c r="AA625">
        <v>9.0433228833964598</v>
      </c>
      <c r="AB625">
        <v>25.18393714363571</v>
      </c>
      <c r="AC625">
        <v>5.3362471480092486</v>
      </c>
      <c r="AD625" s="5">
        <v>0.1748432151332085</v>
      </c>
      <c r="AE625">
        <v>114.4724415619805</v>
      </c>
      <c r="AF625">
        <v>24.255668854587501</v>
      </c>
      <c r="AG625">
        <v>1.91619783951241</v>
      </c>
      <c r="AH625" t="str">
        <f t="shared" si="19"/>
        <v>False</v>
      </c>
      <c r="AI625">
        <v>1</v>
      </c>
    </row>
    <row r="626" spans="1:35" x14ac:dyDescent="0.35">
      <c r="A626" t="s">
        <v>729</v>
      </c>
      <c r="B626" t="s">
        <v>724</v>
      </c>
      <c r="C626" t="s">
        <v>33</v>
      </c>
      <c r="D626" t="s">
        <v>283</v>
      </c>
      <c r="E626" t="s">
        <v>39</v>
      </c>
      <c r="F626" t="s">
        <v>283</v>
      </c>
      <c r="G626" t="s">
        <v>35</v>
      </c>
      <c r="H626" t="s">
        <v>37</v>
      </c>
      <c r="I626" t="s">
        <v>35</v>
      </c>
      <c r="J626" t="s">
        <v>35</v>
      </c>
      <c r="K626" t="s">
        <v>35</v>
      </c>
      <c r="L626" t="s">
        <v>35</v>
      </c>
      <c r="M626" t="s">
        <v>35</v>
      </c>
      <c r="N626" t="s">
        <v>35</v>
      </c>
      <c r="O626" t="str">
        <f t="shared" si="20"/>
        <v>False</v>
      </c>
      <c r="P626" s="3">
        <v>8971.8689903962386</v>
      </c>
      <c r="Q626" s="3">
        <v>0</v>
      </c>
      <c r="R626" s="3">
        <v>0</v>
      </c>
      <c r="S626" s="3">
        <v>7000.9193444815446</v>
      </c>
      <c r="T626" s="3">
        <v>223.2082773508169</v>
      </c>
      <c r="U626">
        <v>0.1051063886770455</v>
      </c>
      <c r="V626" s="3">
        <v>-4507.7034433799008</v>
      </c>
      <c r="W626">
        <v>40.195055026096249</v>
      </c>
      <c r="X626">
        <v>2.3365974998480858</v>
      </c>
      <c r="Y626">
        <v>7.4497059191865597E-2</v>
      </c>
      <c r="Z626" s="5">
        <v>3.08976099309555E-2</v>
      </c>
      <c r="AA626">
        <v>10.620897726582211</v>
      </c>
      <c r="AB626">
        <v>29.57718354238084</v>
      </c>
      <c r="AC626">
        <v>0.94300074926411881</v>
      </c>
      <c r="AD626" s="5">
        <v>3.0897609930955399E-2</v>
      </c>
      <c r="AE626">
        <v>134.44174337445841</v>
      </c>
      <c r="AF626">
        <v>4.2863670421096307</v>
      </c>
      <c r="AG626">
        <v>0.33862299632665938</v>
      </c>
      <c r="AH626" t="str">
        <f t="shared" si="19"/>
        <v>False</v>
      </c>
      <c r="AI626">
        <v>1</v>
      </c>
    </row>
    <row r="627" spans="1:35" x14ac:dyDescent="0.35">
      <c r="A627" t="s">
        <v>730</v>
      </c>
      <c r="B627" t="s">
        <v>724</v>
      </c>
      <c r="C627" t="s">
        <v>33</v>
      </c>
      <c r="D627" t="s">
        <v>34</v>
      </c>
      <c r="E627" t="s">
        <v>52</v>
      </c>
      <c r="F627" t="s">
        <v>34</v>
      </c>
      <c r="G627" t="s">
        <v>37</v>
      </c>
      <c r="H627" t="s">
        <v>35</v>
      </c>
      <c r="I627" t="s">
        <v>37</v>
      </c>
      <c r="J627" t="s">
        <v>35</v>
      </c>
      <c r="K627" t="s">
        <v>37</v>
      </c>
      <c r="L627" t="s">
        <v>35</v>
      </c>
      <c r="M627" t="s">
        <v>35</v>
      </c>
      <c r="N627" t="s">
        <v>35</v>
      </c>
      <c r="O627" t="str">
        <f t="shared" si="20"/>
        <v>True</v>
      </c>
      <c r="P627" s="3">
        <v>70495.284010116491</v>
      </c>
      <c r="Q627" s="3">
        <v>0</v>
      </c>
      <c r="R627" s="3">
        <v>0</v>
      </c>
      <c r="S627" s="3">
        <v>5597.6449864636161</v>
      </c>
      <c r="T627" s="3">
        <v>1626.4826353687461</v>
      </c>
      <c r="U627">
        <v>9.7474520742983198E-2</v>
      </c>
      <c r="V627" s="3">
        <v>-37965.631302741567</v>
      </c>
      <c r="W627">
        <v>43.342168232945347</v>
      </c>
      <c r="X627">
        <v>1.868246531181351</v>
      </c>
      <c r="Y627">
        <v>0.54284802785860142</v>
      </c>
      <c r="Z627" s="5">
        <v>0.22514588895872761</v>
      </c>
      <c r="AA627">
        <v>8.4920296871879568</v>
      </c>
      <c r="AB627">
        <v>23.648690268118362</v>
      </c>
      <c r="AC627">
        <v>6.8714940235265978</v>
      </c>
      <c r="AD627" s="5">
        <v>0.22514588895872761</v>
      </c>
      <c r="AE627">
        <v>107.4940466732653</v>
      </c>
      <c r="AF627">
        <v>31.23406374330272</v>
      </c>
      <c r="AG627">
        <v>2.4674910357209132</v>
      </c>
      <c r="AH627" t="str">
        <f t="shared" si="19"/>
        <v>True</v>
      </c>
      <c r="AI627">
        <v>1</v>
      </c>
    </row>
    <row r="628" spans="1:35" x14ac:dyDescent="0.35">
      <c r="A628" t="s">
        <v>731</v>
      </c>
      <c r="B628" t="s">
        <v>724</v>
      </c>
      <c r="C628" t="s">
        <v>33</v>
      </c>
      <c r="D628" t="s">
        <v>34</v>
      </c>
      <c r="E628" t="s">
        <v>52</v>
      </c>
      <c r="F628" t="s">
        <v>34</v>
      </c>
      <c r="G628" t="s">
        <v>37</v>
      </c>
      <c r="H628" t="s">
        <v>35</v>
      </c>
      <c r="I628" t="s">
        <v>35</v>
      </c>
      <c r="J628" t="s">
        <v>37</v>
      </c>
      <c r="K628" t="s">
        <v>37</v>
      </c>
      <c r="L628" t="s">
        <v>35</v>
      </c>
      <c r="M628" t="s">
        <v>35</v>
      </c>
      <c r="N628" t="s">
        <v>35</v>
      </c>
      <c r="O628" t="str">
        <f t="shared" si="20"/>
        <v>True</v>
      </c>
      <c r="P628" s="3">
        <v>82956.213163444598</v>
      </c>
      <c r="Q628" s="3">
        <v>0</v>
      </c>
      <c r="R628" s="3">
        <v>0</v>
      </c>
      <c r="S628" s="3">
        <v>5475.8642209851814</v>
      </c>
      <c r="T628" s="3">
        <v>1748.2634008471809</v>
      </c>
      <c r="U628">
        <v>8.9034779826642596E-2</v>
      </c>
      <c r="V628" s="3">
        <v>-47990.945146500977</v>
      </c>
      <c r="W628">
        <v>47.45063765748646</v>
      </c>
      <c r="X628">
        <v>1.827601493273465</v>
      </c>
      <c r="Y628">
        <v>0.58349306576648652</v>
      </c>
      <c r="Z628" s="5">
        <v>0.24200339367810669</v>
      </c>
      <c r="AA628">
        <v>8.3072795148793883</v>
      </c>
      <c r="AB628">
        <v>23.134196117385638</v>
      </c>
      <c r="AC628">
        <v>7.385988174259321</v>
      </c>
      <c r="AD628" s="5">
        <v>0.24200339367810661</v>
      </c>
      <c r="AE628">
        <v>105.15543689720749</v>
      </c>
      <c r="AF628">
        <v>33.572673519360549</v>
      </c>
      <c r="AG628">
        <v>2.6522412080294822</v>
      </c>
      <c r="AH628" t="str">
        <f t="shared" si="19"/>
        <v>True</v>
      </c>
      <c r="AI628">
        <v>1</v>
      </c>
    </row>
    <row r="629" spans="1:35" x14ac:dyDescent="0.35">
      <c r="A629" t="s">
        <v>732</v>
      </c>
      <c r="B629" t="s">
        <v>724</v>
      </c>
      <c r="C629" t="s">
        <v>33</v>
      </c>
      <c r="D629" t="s">
        <v>34</v>
      </c>
      <c r="E629" t="s">
        <v>52</v>
      </c>
      <c r="F629" t="s">
        <v>34</v>
      </c>
      <c r="G629" t="s">
        <v>35</v>
      </c>
      <c r="H629" t="s">
        <v>35</v>
      </c>
      <c r="I629" t="s">
        <v>37</v>
      </c>
      <c r="J629" t="s">
        <v>35</v>
      </c>
      <c r="K629" t="s">
        <v>37</v>
      </c>
      <c r="L629" t="s">
        <v>35</v>
      </c>
      <c r="M629" t="s">
        <v>35</v>
      </c>
      <c r="N629" t="s">
        <v>35</v>
      </c>
      <c r="O629" t="str">
        <f t="shared" si="20"/>
        <v>True</v>
      </c>
      <c r="P629" s="3">
        <v>66757.005264118052</v>
      </c>
      <c r="Q629" s="3">
        <v>0</v>
      </c>
      <c r="R629" s="3">
        <v>0</v>
      </c>
      <c r="S629" s="3">
        <v>5817.3360806020328</v>
      </c>
      <c r="T629" s="3">
        <v>1406.7915412303289</v>
      </c>
      <c r="U629">
        <v>8.90296455842194E-2</v>
      </c>
      <c r="V629" s="3">
        <v>-38621.17443951148</v>
      </c>
      <c r="W629">
        <v>47.453374083934847</v>
      </c>
      <c r="X629">
        <v>1.9415697100446161</v>
      </c>
      <c r="Y629">
        <v>0.46952484899533592</v>
      </c>
      <c r="Z629" s="5">
        <v>0.19473514517916329</v>
      </c>
      <c r="AA629">
        <v>8.8253168638391646</v>
      </c>
      <c r="AB629">
        <v>24.576831772716659</v>
      </c>
      <c r="AC629">
        <v>5.9433525189283003</v>
      </c>
      <c r="AD629" s="5">
        <v>0.19473514517916329</v>
      </c>
      <c r="AE629">
        <v>111.71287169416659</v>
      </c>
      <c r="AF629">
        <v>27.01523872240136</v>
      </c>
      <c r="AG629">
        <v>2.134203859069705</v>
      </c>
      <c r="AH629" t="str">
        <f t="shared" si="19"/>
        <v>True</v>
      </c>
      <c r="AI629">
        <v>1</v>
      </c>
    </row>
    <row r="630" spans="1:35" x14ac:dyDescent="0.35">
      <c r="A630" t="s">
        <v>733</v>
      </c>
      <c r="B630" t="s">
        <v>724</v>
      </c>
      <c r="C630" t="s">
        <v>33</v>
      </c>
      <c r="D630" t="s">
        <v>34</v>
      </c>
      <c r="E630" t="s">
        <v>52</v>
      </c>
      <c r="F630" t="s">
        <v>34</v>
      </c>
      <c r="G630" t="s">
        <v>35</v>
      </c>
      <c r="H630" t="s">
        <v>37</v>
      </c>
      <c r="I630" t="s">
        <v>37</v>
      </c>
      <c r="J630" t="s">
        <v>35</v>
      </c>
      <c r="K630" t="s">
        <v>37</v>
      </c>
      <c r="L630" t="s">
        <v>35</v>
      </c>
      <c r="M630" t="s">
        <v>35</v>
      </c>
      <c r="N630" t="s">
        <v>35</v>
      </c>
      <c r="O630" t="str">
        <f t="shared" si="20"/>
        <v>True</v>
      </c>
      <c r="P630" s="3">
        <v>75728.874254514289</v>
      </c>
      <c r="Q630" s="3">
        <v>0</v>
      </c>
      <c r="R630" s="3">
        <v>0</v>
      </c>
      <c r="S630" s="3">
        <v>5640.8741785469274</v>
      </c>
      <c r="T630" s="3">
        <v>1583.2534432854341</v>
      </c>
      <c r="U630">
        <v>8.8326431023948507E-2</v>
      </c>
      <c r="V630" s="3">
        <v>-44063.805388805602</v>
      </c>
      <c r="W630">
        <v>47.831176098608758</v>
      </c>
      <c r="X630">
        <v>1.882674525159304</v>
      </c>
      <c r="Y630">
        <v>0.52842003388064795</v>
      </c>
      <c r="Z630" s="5">
        <v>0.21916188724305111</v>
      </c>
      <c r="AA630">
        <v>8.5576114779968364</v>
      </c>
      <c r="AB630">
        <v>23.83132310328233</v>
      </c>
      <c r="AC630">
        <v>6.6888611883626297</v>
      </c>
      <c r="AD630" s="5">
        <v>0.219161887243051</v>
      </c>
      <c r="AE630">
        <v>108.3241959240106</v>
      </c>
      <c r="AF630">
        <v>30.403914492557409</v>
      </c>
      <c r="AG630">
        <v>2.4019092449120341</v>
      </c>
      <c r="AH630" t="str">
        <f t="shared" si="19"/>
        <v>True</v>
      </c>
      <c r="AI630">
        <v>1</v>
      </c>
    </row>
    <row r="631" spans="1:35" x14ac:dyDescent="0.35">
      <c r="A631" t="s">
        <v>734</v>
      </c>
      <c r="B631" t="s">
        <v>724</v>
      </c>
      <c r="C631" t="s">
        <v>33</v>
      </c>
      <c r="D631" t="s">
        <v>34</v>
      </c>
      <c r="E631" t="s">
        <v>52</v>
      </c>
      <c r="F631" t="s">
        <v>34</v>
      </c>
      <c r="G631" t="s">
        <v>35</v>
      </c>
      <c r="H631" t="s">
        <v>37</v>
      </c>
      <c r="I631" t="s">
        <v>35</v>
      </c>
      <c r="J631" t="s">
        <v>37</v>
      </c>
      <c r="K631" t="s">
        <v>37</v>
      </c>
      <c r="L631" t="s">
        <v>35</v>
      </c>
      <c r="M631" t="s">
        <v>35</v>
      </c>
      <c r="N631" t="s">
        <v>35</v>
      </c>
      <c r="O631" t="str">
        <f t="shared" si="20"/>
        <v>True</v>
      </c>
      <c r="P631" s="3">
        <v>88189.803407842395</v>
      </c>
      <c r="Q631" s="3">
        <v>0</v>
      </c>
      <c r="R631" s="3">
        <v>0</v>
      </c>
      <c r="S631" s="3">
        <v>5521.0397816145314</v>
      </c>
      <c r="T631" s="3">
        <v>1703.08784021783</v>
      </c>
      <c r="U631">
        <v>8.1586896974159898E-2</v>
      </c>
      <c r="V631" s="3">
        <v>-54128.046603485782</v>
      </c>
      <c r="W631">
        <v>51.782298790039292</v>
      </c>
      <c r="X631">
        <v>1.842679099060194</v>
      </c>
      <c r="Y631">
        <v>0.56841545997975773</v>
      </c>
      <c r="Z631" s="5">
        <v>0.2357499658603556</v>
      </c>
      <c r="AA631">
        <v>8.3758140866372468</v>
      </c>
      <c r="AB631">
        <v>23.325051886837901</v>
      </c>
      <c r="AC631">
        <v>7.1951324048070582</v>
      </c>
      <c r="AD631" s="5">
        <v>0.23574996586035549</v>
      </c>
      <c r="AE631">
        <v>106.0229631219905</v>
      </c>
      <c r="AF631">
        <v>32.705147294577543</v>
      </c>
      <c r="AG631">
        <v>2.5837066362716228</v>
      </c>
      <c r="AH631" t="str">
        <f t="shared" si="19"/>
        <v>True</v>
      </c>
      <c r="AI631">
        <v>1</v>
      </c>
    </row>
    <row r="632" spans="1:35" x14ac:dyDescent="0.35">
      <c r="A632" t="s">
        <v>735</v>
      </c>
      <c r="B632" t="s">
        <v>724</v>
      </c>
      <c r="C632" t="s">
        <v>33</v>
      </c>
      <c r="D632" t="s">
        <v>34</v>
      </c>
      <c r="E632" t="s">
        <v>52</v>
      </c>
      <c r="F632" t="s">
        <v>34</v>
      </c>
      <c r="G632" t="s">
        <v>35</v>
      </c>
      <c r="H632" t="s">
        <v>35</v>
      </c>
      <c r="I632" t="s">
        <v>35</v>
      </c>
      <c r="J632" t="s">
        <v>37</v>
      </c>
      <c r="K632" t="s">
        <v>37</v>
      </c>
      <c r="L632" t="s">
        <v>35</v>
      </c>
      <c r="M632" t="s">
        <v>35</v>
      </c>
      <c r="N632" t="s">
        <v>35</v>
      </c>
      <c r="O632" t="str">
        <f t="shared" si="20"/>
        <v>True</v>
      </c>
      <c r="P632" s="3">
        <v>79217.934417446158</v>
      </c>
      <c r="Q632" s="3">
        <v>0</v>
      </c>
      <c r="R632" s="3">
        <v>0</v>
      </c>
      <c r="S632" s="3">
        <v>5697.0666618353289</v>
      </c>
      <c r="T632" s="3">
        <v>1527.0609599970319</v>
      </c>
      <c r="U632">
        <v>8.1439406927086302E-2</v>
      </c>
      <c r="V632" s="3">
        <v>-48676.715217505509</v>
      </c>
      <c r="W632">
        <v>51.876078619415502</v>
      </c>
      <c r="X632">
        <v>1.901429092881247</v>
      </c>
      <c r="Y632">
        <v>0.50966546615870545</v>
      </c>
      <c r="Z632" s="5">
        <v>0.21138344170194789</v>
      </c>
      <c r="AA632">
        <v>8.6428595130965746</v>
      </c>
      <c r="AB632">
        <v>24.068722694699321</v>
      </c>
      <c r="AC632">
        <v>6.4514615969456379</v>
      </c>
      <c r="AD632" s="5">
        <v>0.21138344170194789</v>
      </c>
      <c r="AE632">
        <v>109.403284975906</v>
      </c>
      <c r="AF632">
        <v>29.324825440661989</v>
      </c>
      <c r="AG632">
        <v>2.316661209812295</v>
      </c>
      <c r="AH632" t="str">
        <f t="shared" si="19"/>
        <v>True</v>
      </c>
      <c r="AI632">
        <v>1</v>
      </c>
    </row>
    <row r="633" spans="1:35" x14ac:dyDescent="0.35">
      <c r="A633" t="s">
        <v>736</v>
      </c>
      <c r="B633" t="s">
        <v>724</v>
      </c>
      <c r="C633" t="s">
        <v>33</v>
      </c>
      <c r="D633" t="s">
        <v>283</v>
      </c>
      <c r="E633" t="s">
        <v>52</v>
      </c>
      <c r="F633" t="s">
        <v>283</v>
      </c>
      <c r="G633" t="s">
        <v>37</v>
      </c>
      <c r="H633" t="s">
        <v>35</v>
      </c>
      <c r="I633" t="s">
        <v>37</v>
      </c>
      <c r="J633" t="s">
        <v>35</v>
      </c>
      <c r="K633" t="s">
        <v>35</v>
      </c>
      <c r="L633" t="s">
        <v>35</v>
      </c>
      <c r="M633" t="s">
        <v>35</v>
      </c>
      <c r="N633" t="s">
        <v>35</v>
      </c>
      <c r="O633" t="str">
        <f t="shared" si="20"/>
        <v>True</v>
      </c>
      <c r="P633" s="3">
        <v>58566.367020642123</v>
      </c>
      <c r="Q633" s="3">
        <v>0</v>
      </c>
      <c r="R633" s="3">
        <v>0</v>
      </c>
      <c r="S633" s="3">
        <v>6570.4884288056592</v>
      </c>
      <c r="T633" s="3">
        <v>653.63919302670195</v>
      </c>
      <c r="U633">
        <v>4.71510688928879E-2</v>
      </c>
      <c r="V633" s="3">
        <v>-45493.583160108094</v>
      </c>
      <c r="W633">
        <v>89.600451817230024</v>
      </c>
      <c r="X633">
        <v>2.192938681350431</v>
      </c>
      <c r="Y633">
        <v>0.21815587768952049</v>
      </c>
      <c r="Z633" s="5">
        <v>9.04800174143255E-2</v>
      </c>
      <c r="AA633">
        <v>9.9679030970474152</v>
      </c>
      <c r="AB633">
        <v>27.7587174854485</v>
      </c>
      <c r="AC633">
        <v>2.7614668061964589</v>
      </c>
      <c r="AD633" s="5">
        <v>9.04800174143255E-2</v>
      </c>
      <c r="AE633">
        <v>126.1759885702204</v>
      </c>
      <c r="AF633">
        <v>12.552121846347539</v>
      </c>
      <c r="AG633">
        <v>0.99161762586145319</v>
      </c>
      <c r="AH633" t="str">
        <f t="shared" si="19"/>
        <v>True</v>
      </c>
      <c r="AI633">
        <v>1</v>
      </c>
    </row>
    <row r="634" spans="1:35" x14ac:dyDescent="0.35">
      <c r="A634" t="s">
        <v>737</v>
      </c>
      <c r="B634" t="s">
        <v>724</v>
      </c>
      <c r="C634" t="s">
        <v>33</v>
      </c>
      <c r="D634" t="s">
        <v>283</v>
      </c>
      <c r="E634" t="s">
        <v>52</v>
      </c>
      <c r="F634" t="s">
        <v>283</v>
      </c>
      <c r="G634" t="s">
        <v>37</v>
      </c>
      <c r="H634" t="s">
        <v>35</v>
      </c>
      <c r="I634" t="s">
        <v>35</v>
      </c>
      <c r="J634" t="s">
        <v>37</v>
      </c>
      <c r="K634" t="s">
        <v>35</v>
      </c>
      <c r="L634" t="s">
        <v>35</v>
      </c>
      <c r="M634" t="s">
        <v>35</v>
      </c>
      <c r="N634" t="s">
        <v>35</v>
      </c>
      <c r="O634" t="str">
        <f t="shared" si="20"/>
        <v>True</v>
      </c>
      <c r="P634" s="3">
        <v>71027.29617397023</v>
      </c>
      <c r="Q634" s="3">
        <v>0</v>
      </c>
      <c r="R634" s="3">
        <v>0</v>
      </c>
      <c r="S634" s="3">
        <v>6465.2943406398836</v>
      </c>
      <c r="T634" s="3">
        <v>758.83328119247778</v>
      </c>
      <c r="U634">
        <v>4.5135975142924098E-2</v>
      </c>
      <c r="V634" s="3">
        <v>-55850.630550120673</v>
      </c>
      <c r="W634">
        <v>93.600660295702284</v>
      </c>
      <c r="X634">
        <v>2.1578295433483352</v>
      </c>
      <c r="Y634">
        <v>0.25326501569161719</v>
      </c>
      <c r="Z634" s="5">
        <v>0.1050415110191539</v>
      </c>
      <c r="AA634">
        <v>9.808316106128796</v>
      </c>
      <c r="AB634">
        <v>27.314298017067529</v>
      </c>
      <c r="AC634">
        <v>3.205886274577431</v>
      </c>
      <c r="AD634" s="5">
        <v>0.1050415110191539</v>
      </c>
      <c r="AE634">
        <v>124.1559000775797</v>
      </c>
      <c r="AF634">
        <v>14.57221033898832</v>
      </c>
      <c r="AG634">
        <v>1.151204616780074</v>
      </c>
      <c r="AH634" t="str">
        <f t="shared" si="19"/>
        <v>True</v>
      </c>
      <c r="AI634">
        <v>1</v>
      </c>
    </row>
    <row r="635" spans="1:35" x14ac:dyDescent="0.35">
      <c r="A635" t="s">
        <v>738</v>
      </c>
      <c r="B635" t="s">
        <v>724</v>
      </c>
      <c r="C635" t="s">
        <v>33</v>
      </c>
      <c r="D635" t="s">
        <v>283</v>
      </c>
      <c r="E635" t="s">
        <v>52</v>
      </c>
      <c r="F635" t="s">
        <v>283</v>
      </c>
      <c r="G635" t="s">
        <v>35</v>
      </c>
      <c r="H635" t="s">
        <v>37</v>
      </c>
      <c r="I635" t="s">
        <v>37</v>
      </c>
      <c r="J635" t="s">
        <v>35</v>
      </c>
      <c r="K635" t="s">
        <v>35</v>
      </c>
      <c r="L635" t="s">
        <v>35</v>
      </c>
      <c r="M635" t="s">
        <v>35</v>
      </c>
      <c r="N635" t="s">
        <v>35</v>
      </c>
      <c r="O635" t="str">
        <f t="shared" si="20"/>
        <v>True</v>
      </c>
      <c r="P635" s="3">
        <v>63799.95726503992</v>
      </c>
      <c r="Q635" s="3">
        <v>0</v>
      </c>
      <c r="R635" s="3">
        <v>0</v>
      </c>
      <c r="S635" s="3">
        <v>6619.5558849794033</v>
      </c>
      <c r="T635" s="3">
        <v>604.57173685295834</v>
      </c>
      <c r="U635">
        <v>4.0034019347247103E-2</v>
      </c>
      <c r="V635" s="3">
        <v>-51708.522527980749</v>
      </c>
      <c r="W635">
        <v>105.5291760695673</v>
      </c>
      <c r="X635">
        <v>2.2093152298832819</v>
      </c>
      <c r="Y635">
        <v>0.2017793291566696</v>
      </c>
      <c r="Z635" s="5">
        <v>8.3687853883679206E-2</v>
      </c>
      <c r="AA635">
        <v>10.042341954014921</v>
      </c>
      <c r="AB635">
        <v>27.966015568142812</v>
      </c>
      <c r="AC635">
        <v>2.5541687235021482</v>
      </c>
      <c r="AD635" s="5">
        <v>8.3687853883679303E-2</v>
      </c>
      <c r="AE635">
        <v>127.11825258246731</v>
      </c>
      <c r="AF635">
        <v>11.609857834100669</v>
      </c>
      <c r="AG635">
        <v>0.91717876889394923</v>
      </c>
      <c r="AH635" t="str">
        <f t="shared" si="19"/>
        <v>True</v>
      </c>
      <c r="AI635">
        <v>1</v>
      </c>
    </row>
    <row r="636" spans="1:35" x14ac:dyDescent="0.35">
      <c r="A636" t="s">
        <v>739</v>
      </c>
      <c r="B636" t="s">
        <v>724</v>
      </c>
      <c r="C636" t="s">
        <v>33</v>
      </c>
      <c r="D636" t="s">
        <v>283</v>
      </c>
      <c r="E636" t="s">
        <v>52</v>
      </c>
      <c r="F636" t="s">
        <v>283</v>
      </c>
      <c r="G636" t="s">
        <v>35</v>
      </c>
      <c r="H636" t="s">
        <v>37</v>
      </c>
      <c r="I636" t="s">
        <v>35</v>
      </c>
      <c r="J636" t="s">
        <v>37</v>
      </c>
      <c r="K636" t="s">
        <v>35</v>
      </c>
      <c r="L636" t="s">
        <v>35</v>
      </c>
      <c r="M636" t="s">
        <v>35</v>
      </c>
      <c r="N636" t="s">
        <v>35</v>
      </c>
      <c r="O636" t="str">
        <f t="shared" si="20"/>
        <v>True</v>
      </c>
      <c r="P636" s="3">
        <v>76260.886418368027</v>
      </c>
      <c r="Q636" s="3">
        <v>0</v>
      </c>
      <c r="R636" s="3">
        <v>0</v>
      </c>
      <c r="S636" s="3">
        <v>6521.2218318156156</v>
      </c>
      <c r="T636" s="3">
        <v>702.90579001674564</v>
      </c>
      <c r="U636">
        <v>3.8940095636606602E-2</v>
      </c>
      <c r="V636" s="3">
        <v>-62202.770618033122</v>
      </c>
      <c r="W636">
        <v>108.4937519387217</v>
      </c>
      <c r="X636">
        <v>2.176495668413323</v>
      </c>
      <c r="Y636">
        <v>0.2345988906266285</v>
      </c>
      <c r="Z636" s="5">
        <v>9.7299747016160495E-2</v>
      </c>
      <c r="AA636">
        <v>9.8931621291514702</v>
      </c>
      <c r="AB636">
        <v>27.55057808118131</v>
      </c>
      <c r="AC636">
        <v>2.9696062104636489</v>
      </c>
      <c r="AD636" s="5">
        <v>9.7299747016160398E-2</v>
      </c>
      <c r="AE636">
        <v>125.2299003690059</v>
      </c>
      <c r="AF636">
        <v>13.49821004756204</v>
      </c>
      <c r="AG636">
        <v>1.0663585937574001</v>
      </c>
      <c r="AH636" t="str">
        <f t="shared" si="19"/>
        <v>True</v>
      </c>
      <c r="AI636">
        <v>1</v>
      </c>
    </row>
    <row r="637" spans="1:35" x14ac:dyDescent="0.35">
      <c r="A637" t="s">
        <v>740</v>
      </c>
      <c r="B637" t="s">
        <v>741</v>
      </c>
      <c r="C637" t="s">
        <v>33</v>
      </c>
      <c r="D637" t="s">
        <v>34</v>
      </c>
      <c r="E637" t="s">
        <v>52</v>
      </c>
      <c r="F637" t="s">
        <v>34</v>
      </c>
      <c r="G637" t="s">
        <v>35</v>
      </c>
      <c r="H637" t="s">
        <v>35</v>
      </c>
      <c r="I637" t="s">
        <v>35</v>
      </c>
      <c r="J637" t="s">
        <v>35</v>
      </c>
      <c r="K637" t="s">
        <v>35</v>
      </c>
      <c r="L637" t="s">
        <v>35</v>
      </c>
      <c r="M637" t="s">
        <v>35</v>
      </c>
      <c r="N637" t="s">
        <v>35</v>
      </c>
      <c r="O637" t="str">
        <f t="shared" si="20"/>
        <v>False</v>
      </c>
      <c r="P637" s="3">
        <v>0</v>
      </c>
      <c r="Q637" s="3">
        <v>0</v>
      </c>
      <c r="R637" s="3">
        <v>0</v>
      </c>
      <c r="S637" s="3">
        <v>3722.9596200000001</v>
      </c>
      <c r="T637" s="3">
        <v>0</v>
      </c>
      <c r="U637">
        <v>0</v>
      </c>
      <c r="V637" s="3">
        <v>0</v>
      </c>
      <c r="W637">
        <v>0</v>
      </c>
      <c r="X637">
        <v>1.2425594</v>
      </c>
      <c r="Y637">
        <v>0</v>
      </c>
      <c r="Z637" s="5">
        <v>0</v>
      </c>
      <c r="AA637">
        <v>8.5693751724137925</v>
      </c>
      <c r="AB637">
        <v>15.7286</v>
      </c>
      <c r="AC637">
        <v>0</v>
      </c>
      <c r="AD637" s="5">
        <v>0</v>
      </c>
      <c r="AE637">
        <v>108.47310344827589</v>
      </c>
      <c r="AF637">
        <v>0</v>
      </c>
      <c r="AG637">
        <v>0</v>
      </c>
      <c r="AH637" t="str">
        <f t="shared" si="19"/>
        <v>False</v>
      </c>
      <c r="AI637">
        <v>0</v>
      </c>
    </row>
    <row r="638" spans="1:35" x14ac:dyDescent="0.35">
      <c r="A638" t="s">
        <v>742</v>
      </c>
      <c r="B638" t="s">
        <v>741</v>
      </c>
      <c r="C638" t="s">
        <v>33</v>
      </c>
      <c r="D638" t="s">
        <v>39</v>
      </c>
      <c r="E638" t="s">
        <v>52</v>
      </c>
      <c r="F638" t="s">
        <v>39</v>
      </c>
      <c r="G638" t="s">
        <v>37</v>
      </c>
      <c r="H638" t="s">
        <v>35</v>
      </c>
      <c r="I638" t="s">
        <v>35</v>
      </c>
      <c r="J638" t="s">
        <v>35</v>
      </c>
      <c r="K638" t="s">
        <v>35</v>
      </c>
      <c r="L638" t="s">
        <v>35</v>
      </c>
      <c r="M638" t="s">
        <v>35</v>
      </c>
      <c r="N638" t="s">
        <v>35</v>
      </c>
      <c r="O638" t="str">
        <f t="shared" si="20"/>
        <v>False</v>
      </c>
      <c r="P638" s="3">
        <v>5637.8200892402547</v>
      </c>
      <c r="Q638" s="3">
        <v>0</v>
      </c>
      <c r="R638" s="3">
        <v>0</v>
      </c>
      <c r="S638" s="3">
        <v>2452.2617070000001</v>
      </c>
      <c r="T638" s="3">
        <v>1270.697913</v>
      </c>
      <c r="U638">
        <v>0.9522102364077808</v>
      </c>
      <c r="V638" s="3">
        <v>19776.13817075975</v>
      </c>
      <c r="W638">
        <v>4.4367902328019762</v>
      </c>
      <c r="X638">
        <v>0.81845659000000004</v>
      </c>
      <c r="Y638">
        <v>0.42410280999999989</v>
      </c>
      <c r="Z638" s="5">
        <v>0.34131391223630841</v>
      </c>
      <c r="AA638">
        <v>5.6445282068965517</v>
      </c>
      <c r="AB638">
        <v>10.36021</v>
      </c>
      <c r="AC638">
        <v>5.3683899999999998</v>
      </c>
      <c r="AD638" s="5">
        <v>0.34131391223630841</v>
      </c>
      <c r="AE638">
        <v>71.449724137931042</v>
      </c>
      <c r="AF638">
        <v>37.023379310344822</v>
      </c>
      <c r="AG638">
        <v>2.9248469655172409</v>
      </c>
      <c r="AH638" t="str">
        <f t="shared" si="19"/>
        <v>True</v>
      </c>
      <c r="AI638">
        <v>1</v>
      </c>
    </row>
    <row r="639" spans="1:35" x14ac:dyDescent="0.35">
      <c r="A639" t="s">
        <v>743</v>
      </c>
      <c r="B639" t="s">
        <v>741</v>
      </c>
      <c r="C639" t="s">
        <v>33</v>
      </c>
      <c r="D639" t="s">
        <v>39</v>
      </c>
      <c r="E639" t="s">
        <v>52</v>
      </c>
      <c r="F639" t="s">
        <v>39</v>
      </c>
      <c r="G639" t="s">
        <v>37</v>
      </c>
      <c r="H639" t="s">
        <v>35</v>
      </c>
      <c r="I639" t="s">
        <v>35</v>
      </c>
      <c r="J639" t="s">
        <v>35</v>
      </c>
      <c r="K639" t="s">
        <v>37</v>
      </c>
      <c r="L639" t="s">
        <v>35</v>
      </c>
      <c r="M639" t="s">
        <v>35</v>
      </c>
      <c r="N639" t="s">
        <v>35</v>
      </c>
      <c r="O639" t="str">
        <f t="shared" si="20"/>
        <v>True</v>
      </c>
      <c r="P639" s="3">
        <v>13785</v>
      </c>
      <c r="Q639" s="3">
        <v>0</v>
      </c>
      <c r="R639" s="3">
        <v>0</v>
      </c>
      <c r="S639" s="3">
        <v>1760.0593041</v>
      </c>
      <c r="T639" s="3">
        <v>1962.9003158999999</v>
      </c>
      <c r="U639">
        <v>0.60157976060935803</v>
      </c>
      <c r="V639" s="3">
        <v>25473.006318</v>
      </c>
      <c r="W639">
        <v>7.0227712983374326</v>
      </c>
      <c r="X639">
        <v>0.58743001699999997</v>
      </c>
      <c r="Y639">
        <v>0.65512938300000001</v>
      </c>
      <c r="Z639" s="5">
        <v>0.52724190328446274</v>
      </c>
      <c r="AA639">
        <v>4.0512414965517243</v>
      </c>
      <c r="AB639">
        <v>7.4358230000000001</v>
      </c>
      <c r="AC639">
        <v>8.292777000000001</v>
      </c>
      <c r="AD639" s="5">
        <v>0.52724190328446274</v>
      </c>
      <c r="AE639">
        <v>51.281537931034492</v>
      </c>
      <c r="AF639">
        <v>57.191565517241393</v>
      </c>
      <c r="AG639">
        <v>4.5181336758620683</v>
      </c>
      <c r="AH639" t="str">
        <f t="shared" si="19"/>
        <v>True</v>
      </c>
      <c r="AI639">
        <v>1</v>
      </c>
    </row>
    <row r="640" spans="1:35" x14ac:dyDescent="0.35">
      <c r="A640" t="s">
        <v>744</v>
      </c>
      <c r="B640" t="s">
        <v>741</v>
      </c>
      <c r="C640" t="s">
        <v>33</v>
      </c>
      <c r="D640" t="s">
        <v>34</v>
      </c>
      <c r="E640" t="s">
        <v>52</v>
      </c>
      <c r="F640" t="s">
        <v>34</v>
      </c>
      <c r="G640" t="s">
        <v>35</v>
      </c>
      <c r="H640" t="s">
        <v>35</v>
      </c>
      <c r="I640" t="s">
        <v>35</v>
      </c>
      <c r="J640" t="s">
        <v>35</v>
      </c>
      <c r="K640" t="s">
        <v>37</v>
      </c>
      <c r="L640" t="s">
        <v>35</v>
      </c>
      <c r="M640" t="s">
        <v>35</v>
      </c>
      <c r="N640" t="s">
        <v>35</v>
      </c>
      <c r="O640" t="str">
        <f t="shared" si="20"/>
        <v>False</v>
      </c>
      <c r="P640" s="3">
        <v>8160.415</v>
      </c>
      <c r="Q640" s="3">
        <v>0</v>
      </c>
      <c r="R640" s="3">
        <v>0</v>
      </c>
      <c r="S640" s="3">
        <v>2967.441624</v>
      </c>
      <c r="T640" s="3">
        <v>755.51799599999981</v>
      </c>
      <c r="U640">
        <v>0.39114187207390788</v>
      </c>
      <c r="V640" s="3">
        <v>6949.9449199999954</v>
      </c>
      <c r="W640">
        <v>10.801086199408021</v>
      </c>
      <c r="X640">
        <v>0.99040088000000004</v>
      </c>
      <c r="Y640">
        <v>0.25215851999999989</v>
      </c>
      <c r="Z640" s="5">
        <v>0.20293478122655539</v>
      </c>
      <c r="AA640">
        <v>6.8303508965517246</v>
      </c>
      <c r="AB640">
        <v>12.536720000000001</v>
      </c>
      <c r="AC640">
        <v>3.1918799999999989</v>
      </c>
      <c r="AD640" s="5">
        <v>0.20293478122655539</v>
      </c>
      <c r="AE640">
        <v>86.460137931034495</v>
      </c>
      <c r="AF640">
        <v>22.012965517241369</v>
      </c>
      <c r="AG640">
        <v>1.739024275862068</v>
      </c>
      <c r="AH640" t="str">
        <f t="shared" si="19"/>
        <v>False</v>
      </c>
      <c r="AI640">
        <v>1</v>
      </c>
    </row>
    <row r="641" spans="1:35" x14ac:dyDescent="0.35">
      <c r="A641" t="s">
        <v>745</v>
      </c>
      <c r="B641" t="s">
        <v>741</v>
      </c>
      <c r="C641" t="s">
        <v>33</v>
      </c>
      <c r="D641" t="s">
        <v>39</v>
      </c>
      <c r="E641" t="s">
        <v>52</v>
      </c>
      <c r="F641" t="s">
        <v>39</v>
      </c>
      <c r="G641" t="s">
        <v>35</v>
      </c>
      <c r="H641" t="s">
        <v>37</v>
      </c>
      <c r="I641" t="s">
        <v>35</v>
      </c>
      <c r="J641" t="s">
        <v>35</v>
      </c>
      <c r="K641" t="s">
        <v>35</v>
      </c>
      <c r="L641" t="s">
        <v>35</v>
      </c>
      <c r="M641" t="s">
        <v>35</v>
      </c>
      <c r="N641" t="s">
        <v>35</v>
      </c>
      <c r="O641" t="str">
        <f t="shared" si="20"/>
        <v>False</v>
      </c>
      <c r="P641" s="3">
        <v>13530.768214176611</v>
      </c>
      <c r="Q641" s="3">
        <v>0</v>
      </c>
      <c r="R641" s="3">
        <v>0</v>
      </c>
      <c r="S641" s="3">
        <v>2542.707144</v>
      </c>
      <c r="T641" s="3">
        <v>1180.2524759999999</v>
      </c>
      <c r="U641">
        <v>0.36851418345750092</v>
      </c>
      <c r="V641" s="3">
        <v>10074.28130582339</v>
      </c>
      <c r="W641">
        <v>11.46429979120553</v>
      </c>
      <c r="X641">
        <v>0.84864328</v>
      </c>
      <c r="Y641">
        <v>0.39391611999999998</v>
      </c>
      <c r="Z641" s="5">
        <v>0.31701995091743701</v>
      </c>
      <c r="AA641">
        <v>5.8527122758620687</v>
      </c>
      <c r="AB641">
        <v>10.742319999999999</v>
      </c>
      <c r="AC641">
        <v>4.9862800000000007</v>
      </c>
      <c r="AD641" s="5">
        <v>0.31701995091743712</v>
      </c>
      <c r="AE641">
        <v>74.084965517241372</v>
      </c>
      <c r="AF641">
        <v>34.388137931034493</v>
      </c>
      <c r="AG641">
        <v>2.7166628965517239</v>
      </c>
      <c r="AH641" t="str">
        <f t="shared" si="19"/>
        <v>False</v>
      </c>
      <c r="AI641">
        <v>1</v>
      </c>
    </row>
    <row r="642" spans="1:35" x14ac:dyDescent="0.35">
      <c r="A642" t="s">
        <v>746</v>
      </c>
      <c r="B642" t="s">
        <v>741</v>
      </c>
      <c r="C642" t="s">
        <v>33</v>
      </c>
      <c r="D642" t="s">
        <v>39</v>
      </c>
      <c r="E642" t="s">
        <v>52</v>
      </c>
      <c r="F642" t="s">
        <v>39</v>
      </c>
      <c r="G642" t="s">
        <v>35</v>
      </c>
      <c r="H642" t="s">
        <v>37</v>
      </c>
      <c r="I642" t="s">
        <v>35</v>
      </c>
      <c r="J642" t="s">
        <v>35</v>
      </c>
      <c r="K642" t="s">
        <v>37</v>
      </c>
      <c r="L642" t="s">
        <v>35</v>
      </c>
      <c r="M642" t="s">
        <v>35</v>
      </c>
      <c r="N642" t="s">
        <v>35</v>
      </c>
      <c r="O642" t="str">
        <f t="shared" si="20"/>
        <v>True</v>
      </c>
      <c r="P642" s="3">
        <v>21691.182899285512</v>
      </c>
      <c r="Q642" s="3">
        <v>0</v>
      </c>
      <c r="R642" s="3">
        <v>0</v>
      </c>
      <c r="S642" s="3">
        <v>1842.4825046999999</v>
      </c>
      <c r="T642" s="3">
        <v>1880.4771152999999</v>
      </c>
      <c r="U642">
        <v>0.36625752670508749</v>
      </c>
      <c r="V642" s="3">
        <v>15918.35940671448</v>
      </c>
      <c r="W642">
        <v>11.53493585367298</v>
      </c>
      <c r="X642">
        <v>0.61493923900000003</v>
      </c>
      <c r="Y642">
        <v>0.62762016099999995</v>
      </c>
      <c r="Z642" s="5">
        <v>0.50510274277430922</v>
      </c>
      <c r="AA642">
        <v>4.2409602689655177</v>
      </c>
      <c r="AB642">
        <v>7.7840410000000002</v>
      </c>
      <c r="AC642">
        <v>7.9445589999999999</v>
      </c>
      <c r="AD642" s="5">
        <v>0.50510274277430922</v>
      </c>
      <c r="AE642">
        <v>53.683041379310353</v>
      </c>
      <c r="AF642">
        <v>54.790062068965518</v>
      </c>
      <c r="AG642">
        <v>4.3284149034482748</v>
      </c>
      <c r="AH642" t="str">
        <f t="shared" si="19"/>
        <v>False</v>
      </c>
      <c r="AI642">
        <v>1</v>
      </c>
    </row>
    <row r="643" spans="1:35" x14ac:dyDescent="0.35">
      <c r="A643" t="s">
        <v>747</v>
      </c>
      <c r="B643" t="s">
        <v>741</v>
      </c>
      <c r="C643" t="s">
        <v>33</v>
      </c>
      <c r="D643" t="s">
        <v>52</v>
      </c>
      <c r="E643" t="s">
        <v>77</v>
      </c>
      <c r="F643" t="s">
        <v>52</v>
      </c>
      <c r="G643" t="s">
        <v>37</v>
      </c>
      <c r="H643" t="s">
        <v>35</v>
      </c>
      <c r="I643" t="s">
        <v>37</v>
      </c>
      <c r="J643" t="s">
        <v>35</v>
      </c>
      <c r="K643" t="s">
        <v>37</v>
      </c>
      <c r="L643" t="s">
        <v>35</v>
      </c>
      <c r="M643" t="s">
        <v>35</v>
      </c>
      <c r="N643" t="s">
        <v>35</v>
      </c>
      <c r="O643" t="str">
        <f t="shared" si="20"/>
        <v>True</v>
      </c>
      <c r="P643" s="3">
        <v>33194</v>
      </c>
      <c r="Q643" s="3">
        <v>0</v>
      </c>
      <c r="R643" s="3">
        <v>0</v>
      </c>
      <c r="S643" s="3">
        <v>1257.6065094</v>
      </c>
      <c r="T643" s="3">
        <v>2465.3531106</v>
      </c>
      <c r="U643">
        <v>0.31377712839669819</v>
      </c>
      <c r="V643" s="3">
        <v>16113.062212000001</v>
      </c>
      <c r="W643">
        <v>13.464197017976661</v>
      </c>
      <c r="X643">
        <v>0.41973347799999999</v>
      </c>
      <c r="Y643">
        <v>0.82282592200000004</v>
      </c>
      <c r="Z643" s="5">
        <v>0.66220248464580456</v>
      </c>
      <c r="AA643">
        <v>2.89471364137931</v>
      </c>
      <c r="AB643">
        <v>5.3130819999999996</v>
      </c>
      <c r="AC643">
        <v>10.415518</v>
      </c>
      <c r="AD643" s="5">
        <v>0.66220248464580445</v>
      </c>
      <c r="AE643">
        <v>36.641944827586201</v>
      </c>
      <c r="AF643">
        <v>71.831158620689649</v>
      </c>
      <c r="AG643">
        <v>5.6746615310344826</v>
      </c>
      <c r="AH643" t="str">
        <f t="shared" ref="AH643:AH706" si="21">IF(OR(G643="True",I643="True",J643="True"),"True","False")</f>
        <v>True</v>
      </c>
      <c r="AI643">
        <v>1</v>
      </c>
    </row>
    <row r="644" spans="1:35" x14ac:dyDescent="0.35">
      <c r="A644" t="s">
        <v>748</v>
      </c>
      <c r="B644" t="s">
        <v>741</v>
      </c>
      <c r="C644" t="s">
        <v>33</v>
      </c>
      <c r="D644" t="s">
        <v>39</v>
      </c>
      <c r="E644" t="s">
        <v>52</v>
      </c>
      <c r="F644" t="s">
        <v>39</v>
      </c>
      <c r="G644" t="s">
        <v>37</v>
      </c>
      <c r="H644" t="s">
        <v>35</v>
      </c>
      <c r="I644" t="s">
        <v>37</v>
      </c>
      <c r="J644" t="s">
        <v>35</v>
      </c>
      <c r="K644" t="s">
        <v>35</v>
      </c>
      <c r="L644" t="s">
        <v>35</v>
      </c>
      <c r="M644" t="s">
        <v>35</v>
      </c>
      <c r="N644" t="s">
        <v>35</v>
      </c>
      <c r="O644" t="str">
        <f t="shared" si="20"/>
        <v>True</v>
      </c>
      <c r="P644" s="3">
        <v>25034</v>
      </c>
      <c r="Q644" s="3">
        <v>0</v>
      </c>
      <c r="R644" s="3">
        <v>0</v>
      </c>
      <c r="S644" s="3">
        <v>1898.9340345000001</v>
      </c>
      <c r="T644" s="3">
        <v>1824.0255855</v>
      </c>
      <c r="U644">
        <v>0.30782395941519541</v>
      </c>
      <c r="V644" s="3">
        <v>11446.511710000001</v>
      </c>
      <c r="W644">
        <v>13.72458818505975</v>
      </c>
      <c r="X644">
        <v>0.63378026499999995</v>
      </c>
      <c r="Y644">
        <v>0.60877913500000003</v>
      </c>
      <c r="Z644" s="5">
        <v>0.48993966405147321</v>
      </c>
      <c r="AA644">
        <v>4.3708983793103444</v>
      </c>
      <c r="AB644">
        <v>8.0225349999999995</v>
      </c>
      <c r="AC644">
        <v>7.7060650000000006</v>
      </c>
      <c r="AD644" s="5">
        <v>0.48993966405147321</v>
      </c>
      <c r="AE644">
        <v>55.327827586206887</v>
      </c>
      <c r="AF644">
        <v>53.145275862068971</v>
      </c>
      <c r="AG644">
        <v>4.1984767931034481</v>
      </c>
      <c r="AH644" t="str">
        <f t="shared" si="21"/>
        <v>True</v>
      </c>
      <c r="AI644">
        <v>1</v>
      </c>
    </row>
    <row r="645" spans="1:35" x14ac:dyDescent="0.35">
      <c r="A645" t="s">
        <v>749</v>
      </c>
      <c r="B645" t="s">
        <v>741</v>
      </c>
      <c r="C645" t="s">
        <v>33</v>
      </c>
      <c r="D645" t="s">
        <v>39</v>
      </c>
      <c r="E645" t="s">
        <v>52</v>
      </c>
      <c r="F645" t="s">
        <v>39</v>
      </c>
      <c r="G645" t="s">
        <v>37</v>
      </c>
      <c r="H645" t="s">
        <v>35</v>
      </c>
      <c r="I645" t="s">
        <v>35</v>
      </c>
      <c r="J645" t="s">
        <v>35</v>
      </c>
      <c r="K645" t="s">
        <v>37</v>
      </c>
      <c r="L645" t="s">
        <v>35</v>
      </c>
      <c r="M645" t="s">
        <v>37</v>
      </c>
      <c r="N645" t="s">
        <v>35</v>
      </c>
      <c r="O645" t="str">
        <f t="shared" ref="O645:O708" si="22">IF(COUNTIF(G645:N645,"True")&gt;1, "True", "False")</f>
        <v>True</v>
      </c>
      <c r="P645" s="3">
        <v>29698</v>
      </c>
      <c r="Q645" s="3">
        <v>0</v>
      </c>
      <c r="R645" s="3">
        <v>0</v>
      </c>
      <c r="S645" s="3">
        <v>1655.7711777</v>
      </c>
      <c r="T645" s="3">
        <v>2067.1884423000001</v>
      </c>
      <c r="U645">
        <v>0.29407263115361298</v>
      </c>
      <c r="V645" s="3">
        <v>11645.76884599999</v>
      </c>
      <c r="W645">
        <v>14.36637289194465</v>
      </c>
      <c r="X645">
        <v>0.55262324900000004</v>
      </c>
      <c r="Y645">
        <v>0.68993615099999994</v>
      </c>
      <c r="Z645" s="5">
        <v>0.55525405948399731</v>
      </c>
      <c r="AA645">
        <v>3.8111948206896549</v>
      </c>
      <c r="AB645">
        <v>6.9952310000000004</v>
      </c>
      <c r="AC645">
        <v>8.7333689999999997</v>
      </c>
      <c r="AD645" s="5">
        <v>0.55525405948399731</v>
      </c>
      <c r="AE645">
        <v>48.242972413793098</v>
      </c>
      <c r="AF645">
        <v>60.23013103448276</v>
      </c>
      <c r="AG645">
        <v>4.7581803517241372</v>
      </c>
      <c r="AH645" t="str">
        <f t="shared" si="21"/>
        <v>True</v>
      </c>
      <c r="AI645">
        <v>1</v>
      </c>
    </row>
    <row r="646" spans="1:35" x14ac:dyDescent="0.35">
      <c r="A646" t="s">
        <v>750</v>
      </c>
      <c r="B646" t="s">
        <v>741</v>
      </c>
      <c r="C646" t="s">
        <v>33</v>
      </c>
      <c r="D646" t="s">
        <v>52</v>
      </c>
      <c r="E646" t="s">
        <v>77</v>
      </c>
      <c r="F646" t="s">
        <v>52</v>
      </c>
      <c r="G646" t="s">
        <v>37</v>
      </c>
      <c r="H646" t="s">
        <v>35</v>
      </c>
      <c r="I646" t="s">
        <v>35</v>
      </c>
      <c r="J646" t="s">
        <v>37</v>
      </c>
      <c r="K646" t="s">
        <v>37</v>
      </c>
      <c r="L646" t="s">
        <v>35</v>
      </c>
      <c r="M646" t="s">
        <v>35</v>
      </c>
      <c r="N646" t="s">
        <v>35</v>
      </c>
      <c r="O646" t="str">
        <f t="shared" si="22"/>
        <v>True</v>
      </c>
      <c r="P646" s="3">
        <v>37602</v>
      </c>
      <c r="Q646" s="3">
        <v>0</v>
      </c>
      <c r="R646" s="3">
        <v>0</v>
      </c>
      <c r="S646" s="3">
        <v>1215.7944012</v>
      </c>
      <c r="T646" s="3">
        <v>2507.1652187999998</v>
      </c>
      <c r="U646">
        <v>0.28169150577096969</v>
      </c>
      <c r="V646" s="3">
        <v>12541.304376</v>
      </c>
      <c r="W646">
        <v>14.997814949745271</v>
      </c>
      <c r="X646">
        <v>0.40577844400000002</v>
      </c>
      <c r="Y646">
        <v>0.83678095600000002</v>
      </c>
      <c r="Z646" s="5">
        <v>0.67343336342713278</v>
      </c>
      <c r="AA646">
        <v>2.7984720275862069</v>
      </c>
      <c r="AB646">
        <v>5.1364359999999998</v>
      </c>
      <c r="AC646">
        <v>10.592164</v>
      </c>
      <c r="AD646" s="5">
        <v>0.67343336342713278</v>
      </c>
      <c r="AE646">
        <v>35.423696551724127</v>
      </c>
      <c r="AF646">
        <v>73.04940689655173</v>
      </c>
      <c r="AG646">
        <v>5.7709031448275852</v>
      </c>
      <c r="AH646" t="str">
        <f t="shared" si="21"/>
        <v>True</v>
      </c>
      <c r="AI646">
        <v>1</v>
      </c>
    </row>
    <row r="647" spans="1:35" x14ac:dyDescent="0.35">
      <c r="A647" t="s">
        <v>751</v>
      </c>
      <c r="B647" t="s">
        <v>741</v>
      </c>
      <c r="C647" t="s">
        <v>33</v>
      </c>
      <c r="D647" t="s">
        <v>39</v>
      </c>
      <c r="E647" t="s">
        <v>52</v>
      </c>
      <c r="F647" t="s">
        <v>39</v>
      </c>
      <c r="G647" t="s">
        <v>37</v>
      </c>
      <c r="H647" t="s">
        <v>35</v>
      </c>
      <c r="I647" t="s">
        <v>35</v>
      </c>
      <c r="J647" t="s">
        <v>35</v>
      </c>
      <c r="K647" t="s">
        <v>35</v>
      </c>
      <c r="L647" t="s">
        <v>35</v>
      </c>
      <c r="M647" t="s">
        <v>37</v>
      </c>
      <c r="N647" t="s">
        <v>35</v>
      </c>
      <c r="O647" t="str">
        <f t="shared" si="22"/>
        <v>True</v>
      </c>
      <c r="P647" s="3">
        <v>21538</v>
      </c>
      <c r="Q647" s="3">
        <v>0</v>
      </c>
      <c r="R647" s="3">
        <v>0</v>
      </c>
      <c r="S647" s="3">
        <v>2309.8939946999999</v>
      </c>
      <c r="T647" s="3">
        <v>1413.0656253</v>
      </c>
      <c r="U647">
        <v>0.27717796452781129</v>
      </c>
      <c r="V647" s="3">
        <v>6723.3125059999948</v>
      </c>
      <c r="W647">
        <v>15.242038030206411</v>
      </c>
      <c r="X647">
        <v>0.77094053900000004</v>
      </c>
      <c r="Y647">
        <v>0.47161886099999989</v>
      </c>
      <c r="Z647" s="5">
        <v>0.3795543786478135</v>
      </c>
      <c r="AA647">
        <v>5.3168313034482759</v>
      </c>
      <c r="AB647">
        <v>9.7587410000000006</v>
      </c>
      <c r="AC647">
        <v>5.9698589999999996</v>
      </c>
      <c r="AD647" s="5">
        <v>0.3795543786478135</v>
      </c>
      <c r="AE647">
        <v>67.301662068965513</v>
      </c>
      <c r="AF647">
        <v>41.171441379310338</v>
      </c>
      <c r="AG647">
        <v>3.2525438689655171</v>
      </c>
      <c r="AH647" t="str">
        <f t="shared" si="21"/>
        <v>True</v>
      </c>
      <c r="AI647">
        <v>1</v>
      </c>
    </row>
    <row r="648" spans="1:35" x14ac:dyDescent="0.35">
      <c r="A648" t="s">
        <v>752</v>
      </c>
      <c r="B648" t="s">
        <v>741</v>
      </c>
      <c r="C648" t="s">
        <v>33</v>
      </c>
      <c r="D648" t="s">
        <v>39</v>
      </c>
      <c r="E648" t="s">
        <v>52</v>
      </c>
      <c r="F648" t="s">
        <v>39</v>
      </c>
      <c r="G648" t="s">
        <v>37</v>
      </c>
      <c r="H648" t="s">
        <v>35</v>
      </c>
      <c r="I648" t="s">
        <v>35</v>
      </c>
      <c r="J648" t="s">
        <v>37</v>
      </c>
      <c r="K648" t="s">
        <v>35</v>
      </c>
      <c r="L648" t="s">
        <v>35</v>
      </c>
      <c r="M648" t="s">
        <v>35</v>
      </c>
      <c r="N648" t="s">
        <v>35</v>
      </c>
      <c r="O648" t="str">
        <f t="shared" si="22"/>
        <v>True</v>
      </c>
      <c r="P648" s="3">
        <v>29442</v>
      </c>
      <c r="Q648" s="3">
        <v>0</v>
      </c>
      <c r="R648" s="3">
        <v>0</v>
      </c>
      <c r="S648" s="3">
        <v>1873.6002702000001</v>
      </c>
      <c r="T648" s="3">
        <v>1849.3593498</v>
      </c>
      <c r="U648">
        <v>0.26537239317981121</v>
      </c>
      <c r="V648" s="3">
        <v>7545.186996000004</v>
      </c>
      <c r="W648">
        <v>15.920107686580231</v>
      </c>
      <c r="X648">
        <v>0.62532497399999998</v>
      </c>
      <c r="Y648">
        <v>0.617234426</v>
      </c>
      <c r="Z648" s="5">
        <v>0.49674440191752611</v>
      </c>
      <c r="AA648">
        <v>4.3125860275862067</v>
      </c>
      <c r="AB648">
        <v>7.9155059999999997</v>
      </c>
      <c r="AC648">
        <v>7.8130940000000004</v>
      </c>
      <c r="AD648" s="5">
        <v>0.49674440191752611</v>
      </c>
      <c r="AE648">
        <v>54.589696551724131</v>
      </c>
      <c r="AF648">
        <v>53.883406896551733</v>
      </c>
      <c r="AG648">
        <v>4.2567891448275859</v>
      </c>
      <c r="AH648" t="str">
        <f t="shared" si="21"/>
        <v>True</v>
      </c>
      <c r="AI648">
        <v>1</v>
      </c>
    </row>
    <row r="649" spans="1:35" x14ac:dyDescent="0.35">
      <c r="A649" t="s">
        <v>753</v>
      </c>
      <c r="B649" t="s">
        <v>741</v>
      </c>
      <c r="C649" t="s">
        <v>33</v>
      </c>
      <c r="D649" t="s">
        <v>52</v>
      </c>
      <c r="E649" t="s">
        <v>77</v>
      </c>
      <c r="F649" t="s">
        <v>52</v>
      </c>
      <c r="G649" t="s">
        <v>35</v>
      </c>
      <c r="H649" t="s">
        <v>37</v>
      </c>
      <c r="I649" t="s">
        <v>37</v>
      </c>
      <c r="J649" t="s">
        <v>35</v>
      </c>
      <c r="K649" t="s">
        <v>37</v>
      </c>
      <c r="L649" t="s">
        <v>35</v>
      </c>
      <c r="M649" t="s">
        <v>35</v>
      </c>
      <c r="N649" t="s">
        <v>35</v>
      </c>
      <c r="O649" t="str">
        <f t="shared" si="22"/>
        <v>True</v>
      </c>
      <c r="P649" s="3">
        <v>41087</v>
      </c>
      <c r="Q649" s="3">
        <v>0</v>
      </c>
      <c r="R649" s="3">
        <v>0</v>
      </c>
      <c r="S649" s="3">
        <v>1333.7434314</v>
      </c>
      <c r="T649" s="3">
        <v>2389.2161885999999</v>
      </c>
      <c r="U649">
        <v>0.24567035802078521</v>
      </c>
      <c r="V649" s="3">
        <v>6697.3237719999961</v>
      </c>
      <c r="W649">
        <v>17.196853175549421</v>
      </c>
      <c r="X649">
        <v>0.44514461799999999</v>
      </c>
      <c r="Y649">
        <v>0.79741478199999993</v>
      </c>
      <c r="Z649" s="5">
        <v>0.64175184059611146</v>
      </c>
      <c r="AA649">
        <v>3.0699628827586212</v>
      </c>
      <c r="AB649">
        <v>5.6347420000000001</v>
      </c>
      <c r="AC649">
        <v>10.093858000000001</v>
      </c>
      <c r="AD649" s="5">
        <v>0.64175184059611157</v>
      </c>
      <c r="AE649">
        <v>38.860289655172423</v>
      </c>
      <c r="AF649">
        <v>69.612813793103456</v>
      </c>
      <c r="AG649">
        <v>5.4994122896551723</v>
      </c>
      <c r="AH649" t="str">
        <f t="shared" si="21"/>
        <v>True</v>
      </c>
      <c r="AI649">
        <v>1</v>
      </c>
    </row>
    <row r="650" spans="1:35" x14ac:dyDescent="0.35">
      <c r="A650" t="s">
        <v>754</v>
      </c>
      <c r="B650" t="s">
        <v>741</v>
      </c>
      <c r="C650" t="s">
        <v>33</v>
      </c>
      <c r="D650" t="s">
        <v>52</v>
      </c>
      <c r="E650" t="s">
        <v>77</v>
      </c>
      <c r="F650" t="s">
        <v>52</v>
      </c>
      <c r="G650" t="s">
        <v>35</v>
      </c>
      <c r="H650" t="s">
        <v>37</v>
      </c>
      <c r="I650" t="s">
        <v>35</v>
      </c>
      <c r="J650" t="s">
        <v>37</v>
      </c>
      <c r="K650" t="s">
        <v>37</v>
      </c>
      <c r="L650" t="s">
        <v>35</v>
      </c>
      <c r="M650" t="s">
        <v>35</v>
      </c>
      <c r="N650" t="s">
        <v>35</v>
      </c>
      <c r="O650" t="str">
        <f t="shared" si="22"/>
        <v>True</v>
      </c>
      <c r="P650" s="3">
        <v>45495</v>
      </c>
      <c r="Q650" s="3">
        <v>0</v>
      </c>
      <c r="R650" s="3">
        <v>0</v>
      </c>
      <c r="S650" s="3">
        <v>1293.9707304000001</v>
      </c>
      <c r="T650" s="3">
        <v>2428.9888896000002</v>
      </c>
      <c r="U650">
        <v>0.2255607868996593</v>
      </c>
      <c r="V650" s="3">
        <v>3084.777791999993</v>
      </c>
      <c r="W650">
        <v>18.730015684630001</v>
      </c>
      <c r="X650">
        <v>0.43187024800000001</v>
      </c>
      <c r="Y650">
        <v>0.81068915199999991</v>
      </c>
      <c r="Z650" s="5">
        <v>0.65243492745698917</v>
      </c>
      <c r="AA650">
        <v>2.978415503448276</v>
      </c>
      <c r="AB650">
        <v>5.4667120000000002</v>
      </c>
      <c r="AC650">
        <v>10.261888000000001</v>
      </c>
      <c r="AD650" s="5">
        <v>0.65243492745698906</v>
      </c>
      <c r="AE650">
        <v>37.701462068965519</v>
      </c>
      <c r="AF650">
        <v>70.771641379310338</v>
      </c>
      <c r="AG650">
        <v>5.5909596689655174</v>
      </c>
      <c r="AH650" t="str">
        <f t="shared" si="21"/>
        <v>True</v>
      </c>
      <c r="AI650">
        <v>1</v>
      </c>
    </row>
    <row r="651" spans="1:35" x14ac:dyDescent="0.35">
      <c r="A651" t="s">
        <v>755</v>
      </c>
      <c r="B651" t="s">
        <v>741</v>
      </c>
      <c r="C651" t="s">
        <v>33</v>
      </c>
      <c r="D651" t="s">
        <v>39</v>
      </c>
      <c r="E651" t="s">
        <v>52</v>
      </c>
      <c r="F651" t="s">
        <v>39</v>
      </c>
      <c r="G651" t="s">
        <v>35</v>
      </c>
      <c r="H651" t="s">
        <v>37</v>
      </c>
      <c r="I651" t="s">
        <v>35</v>
      </c>
      <c r="J651" t="s">
        <v>35</v>
      </c>
      <c r="K651" t="s">
        <v>37</v>
      </c>
      <c r="L651" t="s">
        <v>35</v>
      </c>
      <c r="M651" t="s">
        <v>37</v>
      </c>
      <c r="N651" t="s">
        <v>35</v>
      </c>
      <c r="O651" t="str">
        <f t="shared" si="22"/>
        <v>True</v>
      </c>
      <c r="P651" s="3">
        <v>37573</v>
      </c>
      <c r="Q651" s="3">
        <v>0</v>
      </c>
      <c r="R651" s="3">
        <v>0</v>
      </c>
      <c r="S651" s="3">
        <v>1726.7977467000001</v>
      </c>
      <c r="T651" s="3">
        <v>1996.1618733</v>
      </c>
      <c r="U651">
        <v>0.22445104197162849</v>
      </c>
      <c r="V651" s="3">
        <v>2350.2374659999991</v>
      </c>
      <c r="W651">
        <v>18.822621803654311</v>
      </c>
      <c r="X651">
        <v>0.57632877900000001</v>
      </c>
      <c r="Y651">
        <v>0.66623062099999997</v>
      </c>
      <c r="Z651" s="5">
        <v>0.53617607415790347</v>
      </c>
      <c r="AA651">
        <v>3.9746812344827589</v>
      </c>
      <c r="AB651">
        <v>7.2953010000000003</v>
      </c>
      <c r="AC651">
        <v>8.4332989999999999</v>
      </c>
      <c r="AD651" s="5">
        <v>0.53617607415790347</v>
      </c>
      <c r="AE651">
        <v>50.312420689655177</v>
      </c>
      <c r="AF651">
        <v>58.16068275862068</v>
      </c>
      <c r="AG651">
        <v>4.5946939379310336</v>
      </c>
      <c r="AH651" t="str">
        <f t="shared" si="21"/>
        <v>False</v>
      </c>
      <c r="AI651">
        <v>1</v>
      </c>
    </row>
    <row r="652" spans="1:35" x14ac:dyDescent="0.35">
      <c r="A652" t="s">
        <v>756</v>
      </c>
      <c r="B652" t="s">
        <v>741</v>
      </c>
      <c r="C652" t="s">
        <v>33</v>
      </c>
      <c r="D652" t="s">
        <v>39</v>
      </c>
      <c r="E652" t="s">
        <v>52</v>
      </c>
      <c r="F652" t="s">
        <v>39</v>
      </c>
      <c r="G652" t="s">
        <v>35</v>
      </c>
      <c r="H652" t="s">
        <v>37</v>
      </c>
      <c r="I652" t="s">
        <v>37</v>
      </c>
      <c r="J652" t="s">
        <v>35</v>
      </c>
      <c r="K652" t="s">
        <v>35</v>
      </c>
      <c r="L652" t="s">
        <v>35</v>
      </c>
      <c r="M652" t="s">
        <v>35</v>
      </c>
      <c r="N652" t="s">
        <v>35</v>
      </c>
      <c r="O652" t="str">
        <f t="shared" si="22"/>
        <v>True</v>
      </c>
      <c r="P652" s="3">
        <v>32927</v>
      </c>
      <c r="Q652" s="3">
        <v>0</v>
      </c>
      <c r="R652" s="3">
        <v>0</v>
      </c>
      <c r="S652" s="3">
        <v>1985.7721635</v>
      </c>
      <c r="T652" s="3">
        <v>1737.1874565000001</v>
      </c>
      <c r="U652">
        <v>0.22289291462933161</v>
      </c>
      <c r="V652" s="3">
        <v>1816.749130000004</v>
      </c>
      <c r="W652">
        <v>18.95420087037682</v>
      </c>
      <c r="X652">
        <v>0.66276299500000002</v>
      </c>
      <c r="Y652">
        <v>0.57979640499999996</v>
      </c>
      <c r="Z652" s="5">
        <v>0.46661463830220112</v>
      </c>
      <c r="AA652">
        <v>4.5707792758620691</v>
      </c>
      <c r="AB652">
        <v>8.389405</v>
      </c>
      <c r="AC652">
        <v>7.3391950000000001</v>
      </c>
      <c r="AD652" s="5">
        <v>0.46661463830220112</v>
      </c>
      <c r="AE652">
        <v>57.857965517241382</v>
      </c>
      <c r="AF652">
        <v>50.615137931034482</v>
      </c>
      <c r="AG652">
        <v>3.998595896551723</v>
      </c>
      <c r="AH652" t="str">
        <f t="shared" si="21"/>
        <v>True</v>
      </c>
      <c r="AI652">
        <v>1</v>
      </c>
    </row>
    <row r="653" spans="1:35" x14ac:dyDescent="0.35">
      <c r="A653" t="s">
        <v>757</v>
      </c>
      <c r="B653" t="s">
        <v>758</v>
      </c>
      <c r="C653" t="s">
        <v>33</v>
      </c>
      <c r="D653" t="s">
        <v>39</v>
      </c>
      <c r="E653" t="s">
        <v>52</v>
      </c>
      <c r="F653" t="s">
        <v>39</v>
      </c>
      <c r="G653" t="s">
        <v>35</v>
      </c>
      <c r="H653" t="s">
        <v>35</v>
      </c>
      <c r="I653" t="s">
        <v>35</v>
      </c>
      <c r="J653" t="s">
        <v>35</v>
      </c>
      <c r="K653" t="s">
        <v>35</v>
      </c>
      <c r="L653" t="s">
        <v>35</v>
      </c>
      <c r="M653" t="s">
        <v>35</v>
      </c>
      <c r="N653" t="s">
        <v>35</v>
      </c>
      <c r="O653" t="str">
        <f t="shared" si="22"/>
        <v>False</v>
      </c>
      <c r="P653" s="3">
        <v>0</v>
      </c>
      <c r="Q653" s="3">
        <v>0</v>
      </c>
      <c r="R653" s="3">
        <v>0</v>
      </c>
      <c r="S653" s="3">
        <v>3036.1864049999999</v>
      </c>
      <c r="T653" s="3">
        <v>0</v>
      </c>
      <c r="U653">
        <v>0</v>
      </c>
      <c r="V653" s="3">
        <v>0</v>
      </c>
      <c r="W653">
        <v>0</v>
      </c>
      <c r="X653">
        <v>1.01334485</v>
      </c>
      <c r="Y653">
        <v>0</v>
      </c>
      <c r="Z653" s="5">
        <v>0</v>
      </c>
      <c r="AA653">
        <v>4.7132318604651164</v>
      </c>
      <c r="AB653">
        <v>12.82715</v>
      </c>
      <c r="AC653">
        <v>0</v>
      </c>
      <c r="AD653" s="5">
        <v>0</v>
      </c>
      <c r="AE653">
        <v>59.661162790697666</v>
      </c>
      <c r="AF653">
        <v>0</v>
      </c>
      <c r="AG653">
        <v>0</v>
      </c>
      <c r="AH653" t="str">
        <f t="shared" si="21"/>
        <v>False</v>
      </c>
      <c r="AI653">
        <v>0</v>
      </c>
    </row>
    <row r="654" spans="1:35" x14ac:dyDescent="0.35">
      <c r="A654" t="s">
        <v>759</v>
      </c>
      <c r="B654" t="s">
        <v>758</v>
      </c>
      <c r="C654" t="s">
        <v>33</v>
      </c>
      <c r="D654" t="s">
        <v>39</v>
      </c>
      <c r="E654" t="s">
        <v>77</v>
      </c>
      <c r="F654" t="s">
        <v>39</v>
      </c>
      <c r="G654" t="s">
        <v>37</v>
      </c>
      <c r="H654" t="s">
        <v>35</v>
      </c>
      <c r="I654" t="s">
        <v>35</v>
      </c>
      <c r="J654" t="s">
        <v>35</v>
      </c>
      <c r="K654" t="s">
        <v>35</v>
      </c>
      <c r="L654" t="s">
        <v>35</v>
      </c>
      <c r="M654" t="s">
        <v>35</v>
      </c>
      <c r="N654" t="s">
        <v>35</v>
      </c>
      <c r="O654" t="str">
        <f t="shared" si="22"/>
        <v>False</v>
      </c>
      <c r="P654" s="3">
        <v>28323.4</v>
      </c>
      <c r="Q654" s="3">
        <v>0</v>
      </c>
      <c r="R654" s="3">
        <v>0</v>
      </c>
      <c r="S654" s="3">
        <v>2019.0072104999999</v>
      </c>
      <c r="T654" s="3">
        <v>1017.1791945</v>
      </c>
      <c r="U654">
        <v>0.15172383965201919</v>
      </c>
      <c r="V654" s="3">
        <v>-7979.8161099999998</v>
      </c>
      <c r="W654">
        <v>27.845044563581069</v>
      </c>
      <c r="X654">
        <v>0.67385538499999997</v>
      </c>
      <c r="Y654">
        <v>0.33948946499999999</v>
      </c>
      <c r="Z654" s="5">
        <v>0.33501869082376062</v>
      </c>
      <c r="AA654">
        <v>3.134211093023255</v>
      </c>
      <c r="AB654">
        <v>8.5298149999999993</v>
      </c>
      <c r="AC654">
        <v>4.2973350000000003</v>
      </c>
      <c r="AD654" s="5">
        <v>0.33501869082376062</v>
      </c>
      <c r="AE654">
        <v>39.673558139534883</v>
      </c>
      <c r="AF654">
        <v>19.987604651162791</v>
      </c>
      <c r="AG654">
        <v>1.579020767441861</v>
      </c>
      <c r="AH654" t="str">
        <f t="shared" si="21"/>
        <v>True</v>
      </c>
      <c r="AI654">
        <v>2</v>
      </c>
    </row>
    <row r="655" spans="1:35" x14ac:dyDescent="0.35">
      <c r="A655" t="s">
        <v>760</v>
      </c>
      <c r="B655" t="s">
        <v>758</v>
      </c>
      <c r="C655" t="s">
        <v>33</v>
      </c>
      <c r="D655" t="s">
        <v>52</v>
      </c>
      <c r="E655" t="s">
        <v>77</v>
      </c>
      <c r="F655" t="s">
        <v>52</v>
      </c>
      <c r="G655" t="s">
        <v>37</v>
      </c>
      <c r="H655" t="s">
        <v>35</v>
      </c>
      <c r="I655" t="s">
        <v>35</v>
      </c>
      <c r="J655" t="s">
        <v>35</v>
      </c>
      <c r="K655" t="s">
        <v>35</v>
      </c>
      <c r="L655" t="s">
        <v>37</v>
      </c>
      <c r="M655" t="s">
        <v>35</v>
      </c>
      <c r="N655" t="s">
        <v>35</v>
      </c>
      <c r="O655" t="str">
        <f t="shared" si="22"/>
        <v>True</v>
      </c>
      <c r="P655" s="3">
        <v>74048.479999999996</v>
      </c>
      <c r="Q655" s="3">
        <v>0</v>
      </c>
      <c r="R655" s="3">
        <v>0</v>
      </c>
      <c r="S655" s="3">
        <v>1359.6336773999999</v>
      </c>
      <c r="T655" s="3">
        <v>1676.5527276</v>
      </c>
      <c r="U655">
        <v>9.5653928345321798E-2</v>
      </c>
      <c r="V655" s="3">
        <v>-40517.425448000002</v>
      </c>
      <c r="W655">
        <v>44.167104786499053</v>
      </c>
      <c r="X655">
        <v>0.45378563799999999</v>
      </c>
      <c r="Y655">
        <v>0.55955921199999992</v>
      </c>
      <c r="Z655" s="5">
        <v>0.55219031507388616</v>
      </c>
      <c r="AA655">
        <v>2.1106308744186051</v>
      </c>
      <c r="AB655">
        <v>5.744122</v>
      </c>
      <c r="AC655">
        <v>7.0830279999999997</v>
      </c>
      <c r="AD655" s="5">
        <v>0.55219031507388627</v>
      </c>
      <c r="AE655">
        <v>26.71684651162791</v>
      </c>
      <c r="AF655">
        <v>32.944316279069767</v>
      </c>
      <c r="AG655">
        <v>2.6026009860465118</v>
      </c>
      <c r="AH655" t="str">
        <f t="shared" si="21"/>
        <v>True</v>
      </c>
      <c r="AI655">
        <v>2</v>
      </c>
    </row>
    <row r="656" spans="1:35" x14ac:dyDescent="0.35">
      <c r="A656" t="s">
        <v>761</v>
      </c>
      <c r="B656" t="s">
        <v>758</v>
      </c>
      <c r="C656" t="s">
        <v>33</v>
      </c>
      <c r="D656" t="s">
        <v>39</v>
      </c>
      <c r="E656" t="s">
        <v>77</v>
      </c>
      <c r="F656" t="s">
        <v>39</v>
      </c>
      <c r="G656" t="s">
        <v>35</v>
      </c>
      <c r="H656" t="s">
        <v>35</v>
      </c>
      <c r="I656" t="s">
        <v>35</v>
      </c>
      <c r="J656" t="s">
        <v>35</v>
      </c>
      <c r="K656" t="s">
        <v>35</v>
      </c>
      <c r="L656" t="s">
        <v>37</v>
      </c>
      <c r="M656" t="s">
        <v>35</v>
      </c>
      <c r="N656" t="s">
        <v>35</v>
      </c>
      <c r="O656" t="str">
        <f t="shared" si="22"/>
        <v>False</v>
      </c>
      <c r="P656" s="3">
        <v>45725.09</v>
      </c>
      <c r="Q656" s="3">
        <v>0</v>
      </c>
      <c r="R656" s="3">
        <v>0</v>
      </c>
      <c r="S656" s="3">
        <v>2247.1798563000002</v>
      </c>
      <c r="T656" s="3">
        <v>789.00654869999994</v>
      </c>
      <c r="U656">
        <v>7.2900042405602702E-2</v>
      </c>
      <c r="V656" s="3">
        <v>-29944.959026</v>
      </c>
      <c r="W656">
        <v>57.952738257164732</v>
      </c>
      <c r="X656">
        <v>0.750009331</v>
      </c>
      <c r="Y656">
        <v>0.26333551900000002</v>
      </c>
      <c r="Z656" s="5">
        <v>0.25986762453078038</v>
      </c>
      <c r="AA656">
        <v>3.4884154930232558</v>
      </c>
      <c r="AB656">
        <v>9.4937889999999996</v>
      </c>
      <c r="AC656">
        <v>3.333361</v>
      </c>
      <c r="AD656" s="5">
        <v>0.25986762453078038</v>
      </c>
      <c r="AE656">
        <v>44.157158139534879</v>
      </c>
      <c r="AF656">
        <v>15.50400465116279</v>
      </c>
      <c r="AG656">
        <v>1.2248163674418611</v>
      </c>
      <c r="AH656" t="str">
        <f t="shared" si="21"/>
        <v>False</v>
      </c>
      <c r="AI656">
        <v>1</v>
      </c>
    </row>
    <row r="657" spans="1:35" x14ac:dyDescent="0.35">
      <c r="A657" t="s">
        <v>762</v>
      </c>
      <c r="B657" t="s">
        <v>758</v>
      </c>
      <c r="C657" t="s">
        <v>33</v>
      </c>
      <c r="D657" t="s">
        <v>52</v>
      </c>
      <c r="E657" t="s">
        <v>77</v>
      </c>
      <c r="F657" t="s">
        <v>52</v>
      </c>
      <c r="G657" t="s">
        <v>35</v>
      </c>
      <c r="H657" t="s">
        <v>37</v>
      </c>
      <c r="I657" t="s">
        <v>35</v>
      </c>
      <c r="J657" t="s">
        <v>35</v>
      </c>
      <c r="K657" t="s">
        <v>35</v>
      </c>
      <c r="L657" t="s">
        <v>37</v>
      </c>
      <c r="M657" t="s">
        <v>35</v>
      </c>
      <c r="N657" t="s">
        <v>35</v>
      </c>
      <c r="O657" t="str">
        <f t="shared" si="22"/>
        <v>True</v>
      </c>
      <c r="P657" s="3">
        <v>113701.2</v>
      </c>
      <c r="Q657" s="3">
        <v>0</v>
      </c>
      <c r="R657" s="3">
        <v>0</v>
      </c>
      <c r="S657" s="3">
        <v>1453.0096971</v>
      </c>
      <c r="T657" s="3">
        <v>1583.1767079000001</v>
      </c>
      <c r="U657">
        <v>5.8825562087295398E-2</v>
      </c>
      <c r="V657" s="3">
        <v>-82037.665842000002</v>
      </c>
      <c r="W657">
        <v>71.818388580778603</v>
      </c>
      <c r="X657">
        <v>0.48495042700000002</v>
      </c>
      <c r="Y657">
        <v>0.52839442299999995</v>
      </c>
      <c r="Z657" s="5">
        <v>0.52143593861457915</v>
      </c>
      <c r="AA657">
        <v>2.2555833813953492</v>
      </c>
      <c r="AB657">
        <v>6.1386130000000003</v>
      </c>
      <c r="AC657">
        <v>6.6885369999999993</v>
      </c>
      <c r="AD657" s="5">
        <v>0.52143593861457915</v>
      </c>
      <c r="AE657">
        <v>28.551688372093029</v>
      </c>
      <c r="AF657">
        <v>31.109474418604648</v>
      </c>
      <c r="AG657">
        <v>2.4576484790697681</v>
      </c>
      <c r="AH657" t="str">
        <f t="shared" si="21"/>
        <v>False</v>
      </c>
      <c r="AI657">
        <v>2</v>
      </c>
    </row>
    <row r="658" spans="1:35" x14ac:dyDescent="0.35">
      <c r="A658" t="s">
        <v>763</v>
      </c>
      <c r="B658" t="s">
        <v>758</v>
      </c>
      <c r="C658" t="s">
        <v>33</v>
      </c>
      <c r="D658" t="s">
        <v>39</v>
      </c>
      <c r="E658" t="s">
        <v>77</v>
      </c>
      <c r="F658" t="s">
        <v>39</v>
      </c>
      <c r="G658" t="s">
        <v>35</v>
      </c>
      <c r="H658" t="s">
        <v>37</v>
      </c>
      <c r="I658" t="s">
        <v>35</v>
      </c>
      <c r="J658" t="s">
        <v>35</v>
      </c>
      <c r="K658" t="s">
        <v>35</v>
      </c>
      <c r="L658" t="s">
        <v>35</v>
      </c>
      <c r="M658" t="s">
        <v>35</v>
      </c>
      <c r="N658" t="s">
        <v>35</v>
      </c>
      <c r="O658" t="str">
        <f t="shared" si="22"/>
        <v>False</v>
      </c>
      <c r="P658" s="3">
        <v>67976.149999999994</v>
      </c>
      <c r="Q658" s="3">
        <v>0</v>
      </c>
      <c r="R658" s="3">
        <v>0</v>
      </c>
      <c r="S658" s="3">
        <v>2116.6746011999999</v>
      </c>
      <c r="T658" s="3">
        <v>919.5118037999996</v>
      </c>
      <c r="U658">
        <v>5.71481909463833E-2</v>
      </c>
      <c r="V658" s="3">
        <v>-49585.913924</v>
      </c>
      <c r="W658">
        <v>73.9263484373772</v>
      </c>
      <c r="X658">
        <v>0.70645244400000007</v>
      </c>
      <c r="Y658">
        <v>0.3068924059999999</v>
      </c>
      <c r="Z658" s="5">
        <v>0.30285090608591919</v>
      </c>
      <c r="AA658">
        <v>3.2858253209302331</v>
      </c>
      <c r="AB658">
        <v>8.9424360000000007</v>
      </c>
      <c r="AC658">
        <v>3.8847139999999989</v>
      </c>
      <c r="AD658" s="5">
        <v>0.30285090608591919</v>
      </c>
      <c r="AE658">
        <v>41.592725581395356</v>
      </c>
      <c r="AF658">
        <v>18.068437209302321</v>
      </c>
      <c r="AG658">
        <v>1.4274065395348841</v>
      </c>
      <c r="AH658" t="str">
        <f t="shared" si="21"/>
        <v>False</v>
      </c>
      <c r="AI658">
        <v>2</v>
      </c>
    </row>
    <row r="659" spans="1:35" x14ac:dyDescent="0.35">
      <c r="A659" t="s">
        <v>764</v>
      </c>
      <c r="B659" t="s">
        <v>758</v>
      </c>
      <c r="C659" t="s">
        <v>33</v>
      </c>
      <c r="D659" t="s">
        <v>52</v>
      </c>
      <c r="E659" t="s">
        <v>77</v>
      </c>
      <c r="F659" t="s">
        <v>52</v>
      </c>
      <c r="G659" t="s">
        <v>37</v>
      </c>
      <c r="H659" t="s">
        <v>35</v>
      </c>
      <c r="I659" t="s">
        <v>37</v>
      </c>
      <c r="J659" t="s">
        <v>35</v>
      </c>
      <c r="K659" t="s">
        <v>35</v>
      </c>
      <c r="L659" t="s">
        <v>37</v>
      </c>
      <c r="M659" t="s">
        <v>35</v>
      </c>
      <c r="N659" t="s">
        <v>35</v>
      </c>
      <c r="O659" t="str">
        <f t="shared" si="22"/>
        <v>True</v>
      </c>
      <c r="P659" s="3">
        <v>167051.5</v>
      </c>
      <c r="Q659" s="3">
        <v>0</v>
      </c>
      <c r="R659" s="3">
        <v>0</v>
      </c>
      <c r="S659" s="3">
        <v>1302.1998426</v>
      </c>
      <c r="T659" s="3">
        <v>1733.9865623999999</v>
      </c>
      <c r="U659">
        <v>4.3852775940353701E-2</v>
      </c>
      <c r="V659" s="3">
        <v>-132371.768752</v>
      </c>
      <c r="W659">
        <v>96.339558576962119</v>
      </c>
      <c r="X659">
        <v>0.43461676199999999</v>
      </c>
      <c r="Y659">
        <v>0.57872808799999997</v>
      </c>
      <c r="Z659" s="5">
        <v>0.57110675403343691</v>
      </c>
      <c r="AA659">
        <v>2.0214733116279069</v>
      </c>
      <c r="AB659">
        <v>5.5014779999999996</v>
      </c>
      <c r="AC659">
        <v>7.325672</v>
      </c>
      <c r="AD659" s="5">
        <v>0.57110675403343691</v>
      </c>
      <c r="AE659">
        <v>25.588269767441862</v>
      </c>
      <c r="AF659">
        <v>34.072893023255808</v>
      </c>
      <c r="AG659">
        <v>2.69175854883721</v>
      </c>
      <c r="AH659" t="str">
        <f t="shared" si="21"/>
        <v>True</v>
      </c>
      <c r="AI659">
        <v>2</v>
      </c>
    </row>
    <row r="660" spans="1:35" x14ac:dyDescent="0.35">
      <c r="A660" t="s">
        <v>765</v>
      </c>
      <c r="B660" t="s">
        <v>758</v>
      </c>
      <c r="C660" t="s">
        <v>33</v>
      </c>
      <c r="D660" t="s">
        <v>52</v>
      </c>
      <c r="E660" t="s">
        <v>77</v>
      </c>
      <c r="F660" t="s">
        <v>52</v>
      </c>
      <c r="G660" t="s">
        <v>37</v>
      </c>
      <c r="H660" t="s">
        <v>35</v>
      </c>
      <c r="I660" t="s">
        <v>37</v>
      </c>
      <c r="J660" t="s">
        <v>35</v>
      </c>
      <c r="K660" t="s">
        <v>35</v>
      </c>
      <c r="L660" t="s">
        <v>35</v>
      </c>
      <c r="M660" t="s">
        <v>35</v>
      </c>
      <c r="N660" t="s">
        <v>35</v>
      </c>
      <c r="O660" t="str">
        <f t="shared" si="22"/>
        <v>True</v>
      </c>
      <c r="P660" s="3">
        <v>121326.39999999999</v>
      </c>
      <c r="Q660" s="3">
        <v>0</v>
      </c>
      <c r="R660" s="3">
        <v>0</v>
      </c>
      <c r="S660" s="3">
        <v>1946.1902427</v>
      </c>
      <c r="T660" s="3">
        <v>1089.9961622999999</v>
      </c>
      <c r="U660">
        <v>3.7955210077938499E-2</v>
      </c>
      <c r="V660" s="3">
        <v>-99526.476754000003</v>
      </c>
      <c r="W660">
        <v>111.309015752853</v>
      </c>
      <c r="X660">
        <v>0.64955229900000011</v>
      </c>
      <c r="Y660">
        <v>0.36379255099999991</v>
      </c>
      <c r="Z660" s="5">
        <v>0.35900172680603237</v>
      </c>
      <c r="AA660">
        <v>3.021173483720931</v>
      </c>
      <c r="AB660">
        <v>8.2221810000000009</v>
      </c>
      <c r="AC660">
        <v>4.6049689999999988</v>
      </c>
      <c r="AD660" s="5">
        <v>0.35900172680603237</v>
      </c>
      <c r="AE660">
        <v>38.242702325581398</v>
      </c>
      <c r="AF660">
        <v>21.418460465116279</v>
      </c>
      <c r="AG660">
        <v>1.6920583767441859</v>
      </c>
      <c r="AH660" t="str">
        <f t="shared" si="21"/>
        <v>True</v>
      </c>
      <c r="AI660">
        <v>2</v>
      </c>
    </row>
    <row r="661" spans="1:35" x14ac:dyDescent="0.35">
      <c r="A661" t="s">
        <v>766</v>
      </c>
      <c r="B661" t="s">
        <v>758</v>
      </c>
      <c r="C661" t="s">
        <v>33</v>
      </c>
      <c r="D661" t="s">
        <v>52</v>
      </c>
      <c r="E661" t="s">
        <v>77</v>
      </c>
      <c r="F661" t="s">
        <v>52</v>
      </c>
      <c r="G661" t="s">
        <v>37</v>
      </c>
      <c r="H661" t="s">
        <v>35</v>
      </c>
      <c r="I661" t="s">
        <v>35</v>
      </c>
      <c r="J661" t="s">
        <v>37</v>
      </c>
      <c r="K661" t="s">
        <v>35</v>
      </c>
      <c r="L661" t="s">
        <v>37</v>
      </c>
      <c r="M661" t="s">
        <v>35</v>
      </c>
      <c r="N661" t="s">
        <v>35</v>
      </c>
      <c r="O661" t="str">
        <f t="shared" si="22"/>
        <v>True</v>
      </c>
      <c r="P661" s="3">
        <v>188188.6</v>
      </c>
      <c r="Q661" s="3">
        <v>0</v>
      </c>
      <c r="R661" s="3">
        <v>0</v>
      </c>
      <c r="S661" s="3">
        <v>1397.1785580000001</v>
      </c>
      <c r="T661" s="3">
        <v>1639.0078470000001</v>
      </c>
      <c r="U661">
        <v>3.6795055598479398E-2</v>
      </c>
      <c r="V661" s="3">
        <v>-155408.44305999999</v>
      </c>
      <c r="W661">
        <v>114.8186083089571</v>
      </c>
      <c r="X661">
        <v>0.46631645999999999</v>
      </c>
      <c r="Y661">
        <v>0.54702838999999992</v>
      </c>
      <c r="Z661" s="5">
        <v>0.53982451284969768</v>
      </c>
      <c r="AA661">
        <v>2.168913767441861</v>
      </c>
      <c r="AB661">
        <v>5.9027399999999997</v>
      </c>
      <c r="AC661">
        <v>6.92441</v>
      </c>
      <c r="AD661" s="5">
        <v>0.53982451284969768</v>
      </c>
      <c r="AE661">
        <v>27.454604651162789</v>
      </c>
      <c r="AF661">
        <v>32.206558139534877</v>
      </c>
      <c r="AG661">
        <v>2.5443180930232558</v>
      </c>
      <c r="AH661" t="str">
        <f t="shared" si="21"/>
        <v>True</v>
      </c>
      <c r="AI661">
        <v>2</v>
      </c>
    </row>
    <row r="662" spans="1:35" x14ac:dyDescent="0.35">
      <c r="A662" t="s">
        <v>767</v>
      </c>
      <c r="B662" t="s">
        <v>758</v>
      </c>
      <c r="C662" t="s">
        <v>33</v>
      </c>
      <c r="D662" t="s">
        <v>52</v>
      </c>
      <c r="E662" t="s">
        <v>77</v>
      </c>
      <c r="F662" t="s">
        <v>52</v>
      </c>
      <c r="G662" t="s">
        <v>35</v>
      </c>
      <c r="H662" t="s">
        <v>37</v>
      </c>
      <c r="I662" t="s">
        <v>37</v>
      </c>
      <c r="J662" t="s">
        <v>35</v>
      </c>
      <c r="K662" t="s">
        <v>35</v>
      </c>
      <c r="L662" t="s">
        <v>37</v>
      </c>
      <c r="M662" t="s">
        <v>35</v>
      </c>
      <c r="N662" t="s">
        <v>35</v>
      </c>
      <c r="O662" t="str">
        <f t="shared" si="22"/>
        <v>True</v>
      </c>
      <c r="P662" s="3">
        <v>206704.3</v>
      </c>
      <c r="Q662" s="3">
        <v>0</v>
      </c>
      <c r="R662" s="3">
        <v>0</v>
      </c>
      <c r="S662" s="3">
        <v>1401.6810654000001</v>
      </c>
      <c r="T662" s="3">
        <v>1634.5053396000001</v>
      </c>
      <c r="U662">
        <v>3.3407084419627399E-2</v>
      </c>
      <c r="V662" s="3">
        <v>-174014.19320800001</v>
      </c>
      <c r="W662">
        <v>126.4629089866327</v>
      </c>
      <c r="X662">
        <v>0.46781919799999999</v>
      </c>
      <c r="Y662">
        <v>0.54552565199999992</v>
      </c>
      <c r="Z662" s="5">
        <v>0.53834156457202098</v>
      </c>
      <c r="AA662">
        <v>2.1759032465116279</v>
      </c>
      <c r="AB662">
        <v>5.9217620000000002</v>
      </c>
      <c r="AC662">
        <v>6.9053879999999994</v>
      </c>
      <c r="AD662" s="5">
        <v>0.53834156457202098</v>
      </c>
      <c r="AE662">
        <v>27.54307906976744</v>
      </c>
      <c r="AF662">
        <v>32.11808372093023</v>
      </c>
      <c r="AG662">
        <v>2.537328613953489</v>
      </c>
      <c r="AH662" t="str">
        <f t="shared" si="21"/>
        <v>True</v>
      </c>
      <c r="AI662">
        <v>2</v>
      </c>
    </row>
    <row r="663" spans="1:35" x14ac:dyDescent="0.35">
      <c r="A663" t="s">
        <v>768</v>
      </c>
      <c r="B663" t="s">
        <v>758</v>
      </c>
      <c r="C663" t="s">
        <v>33</v>
      </c>
      <c r="D663" t="s">
        <v>39</v>
      </c>
      <c r="E663" t="s">
        <v>52</v>
      </c>
      <c r="F663" t="s">
        <v>39</v>
      </c>
      <c r="G663" t="s">
        <v>37</v>
      </c>
      <c r="H663" t="s">
        <v>35</v>
      </c>
      <c r="I663" t="s">
        <v>35</v>
      </c>
      <c r="J663" t="s">
        <v>35</v>
      </c>
      <c r="K663" t="s">
        <v>35</v>
      </c>
      <c r="L663" t="s">
        <v>37</v>
      </c>
      <c r="M663" t="s">
        <v>37</v>
      </c>
      <c r="N663" t="s">
        <v>35</v>
      </c>
      <c r="O663" t="str">
        <f t="shared" si="22"/>
        <v>True</v>
      </c>
      <c r="P663" s="3">
        <v>98581.59</v>
      </c>
      <c r="Q663" s="3">
        <v>0</v>
      </c>
      <c r="R663" s="3">
        <v>0</v>
      </c>
      <c r="S663" s="3">
        <v>2293.400502</v>
      </c>
      <c r="T663" s="3">
        <v>742.78590299999996</v>
      </c>
      <c r="U663">
        <v>3.1832414145480901E-2</v>
      </c>
      <c r="V663" s="3">
        <v>-83725.871939999997</v>
      </c>
      <c r="W663">
        <v>132.71871423763409</v>
      </c>
      <c r="X663">
        <v>0.76543573999999992</v>
      </c>
      <c r="Y663">
        <v>0.24790910999999999</v>
      </c>
      <c r="Z663" s="5">
        <v>0.2446443676108879</v>
      </c>
      <c r="AA663">
        <v>3.5601662325581391</v>
      </c>
      <c r="AB663">
        <v>9.6890599999999996</v>
      </c>
      <c r="AC663">
        <v>3.13809</v>
      </c>
      <c r="AD663" s="5">
        <v>0.24464436761088779</v>
      </c>
      <c r="AE663">
        <v>45.065395348837207</v>
      </c>
      <c r="AF663">
        <v>14.59576744186047</v>
      </c>
      <c r="AG663">
        <v>1.1530656279069771</v>
      </c>
      <c r="AH663" t="str">
        <f t="shared" si="21"/>
        <v>True</v>
      </c>
      <c r="AI663">
        <v>2</v>
      </c>
    </row>
    <row r="664" spans="1:35" x14ac:dyDescent="0.35">
      <c r="A664" t="s">
        <v>769</v>
      </c>
      <c r="B664" t="s">
        <v>758</v>
      </c>
      <c r="C664" t="s">
        <v>33</v>
      </c>
      <c r="D664" t="s">
        <v>39</v>
      </c>
      <c r="E664" t="s">
        <v>77</v>
      </c>
      <c r="F664" t="s">
        <v>39</v>
      </c>
      <c r="G664" t="s">
        <v>37</v>
      </c>
      <c r="H664" t="s">
        <v>35</v>
      </c>
      <c r="I664" t="s">
        <v>35</v>
      </c>
      <c r="J664" t="s">
        <v>37</v>
      </c>
      <c r="K664" t="s">
        <v>35</v>
      </c>
      <c r="L664" t="s">
        <v>35</v>
      </c>
      <c r="M664" t="s">
        <v>35</v>
      </c>
      <c r="N664" t="s">
        <v>35</v>
      </c>
      <c r="O664" t="str">
        <f t="shared" si="22"/>
        <v>True</v>
      </c>
      <c r="P664" s="3">
        <v>142463.5</v>
      </c>
      <c r="Q664" s="3">
        <v>0</v>
      </c>
      <c r="R664" s="3">
        <v>0</v>
      </c>
      <c r="S664" s="3">
        <v>2057.7928725000002</v>
      </c>
      <c r="T664" s="3">
        <v>978.39353249999965</v>
      </c>
      <c r="U664">
        <v>2.90142738315428E-2</v>
      </c>
      <c r="V664" s="3">
        <v>-122895.62935</v>
      </c>
      <c r="W664">
        <v>145.60960929083009</v>
      </c>
      <c r="X664">
        <v>0.6868003250000001</v>
      </c>
      <c r="Y664">
        <v>0.32654452499999992</v>
      </c>
      <c r="Z664" s="5">
        <v>0.32224422416514958</v>
      </c>
      <c r="AA664">
        <v>3.19442011627907</v>
      </c>
      <c r="AB664">
        <v>8.6936750000000007</v>
      </c>
      <c r="AC664">
        <v>4.1334749999999989</v>
      </c>
      <c r="AD664" s="5">
        <v>0.32224422416514958</v>
      </c>
      <c r="AE664">
        <v>40.435697674418613</v>
      </c>
      <c r="AF664">
        <v>19.225465116279061</v>
      </c>
      <c r="AG664">
        <v>1.518811744186046</v>
      </c>
      <c r="AH664" t="str">
        <f t="shared" si="21"/>
        <v>True</v>
      </c>
      <c r="AI664">
        <v>2</v>
      </c>
    </row>
    <row r="665" spans="1:35" x14ac:dyDescent="0.35">
      <c r="A665" t="s">
        <v>770</v>
      </c>
      <c r="B665" t="s">
        <v>758</v>
      </c>
      <c r="C665" t="s">
        <v>33</v>
      </c>
      <c r="D665" t="s">
        <v>52</v>
      </c>
      <c r="E665" t="s">
        <v>77</v>
      </c>
      <c r="F665" t="s">
        <v>52</v>
      </c>
      <c r="G665" t="s">
        <v>35</v>
      </c>
      <c r="H665" t="s">
        <v>37</v>
      </c>
      <c r="I665" t="s">
        <v>35</v>
      </c>
      <c r="J665" t="s">
        <v>37</v>
      </c>
      <c r="K665" t="s">
        <v>35</v>
      </c>
      <c r="L665" t="s">
        <v>37</v>
      </c>
      <c r="M665" t="s">
        <v>35</v>
      </c>
      <c r="N665" t="s">
        <v>35</v>
      </c>
      <c r="O665" t="str">
        <f t="shared" si="22"/>
        <v>True</v>
      </c>
      <c r="P665" s="3">
        <v>227841.3</v>
      </c>
      <c r="Q665" s="3">
        <v>0</v>
      </c>
      <c r="R665" s="3">
        <v>0</v>
      </c>
      <c r="S665" s="3">
        <v>1500.0883802999999</v>
      </c>
      <c r="T665" s="3">
        <v>1536.0980247</v>
      </c>
      <c r="U665">
        <v>2.84831635002082E-2</v>
      </c>
      <c r="V665" s="3">
        <v>-197119.33950599999</v>
      </c>
      <c r="W665">
        <v>148.32471387657529</v>
      </c>
      <c r="X665">
        <v>0.500663211</v>
      </c>
      <c r="Y665">
        <v>0.51268163899999997</v>
      </c>
      <c r="Z665" s="5">
        <v>0.50593007799862011</v>
      </c>
      <c r="AA665">
        <v>2.328666097674418</v>
      </c>
      <c r="AB665">
        <v>6.3375089999999998</v>
      </c>
      <c r="AC665">
        <v>6.4896409999999998</v>
      </c>
      <c r="AD665" s="5">
        <v>0.50593007799862011</v>
      </c>
      <c r="AE665">
        <v>29.476786046511631</v>
      </c>
      <c r="AF665">
        <v>30.18437674418605</v>
      </c>
      <c r="AG665">
        <v>2.384565762790698</v>
      </c>
      <c r="AH665" t="str">
        <f t="shared" si="21"/>
        <v>True</v>
      </c>
      <c r="AI665">
        <v>2</v>
      </c>
    </row>
    <row r="666" spans="1:35" x14ac:dyDescent="0.35">
      <c r="A666" t="s">
        <v>771</v>
      </c>
      <c r="B666" t="s">
        <v>758</v>
      </c>
      <c r="C666" t="s">
        <v>33</v>
      </c>
      <c r="D666" t="s">
        <v>39</v>
      </c>
      <c r="E666" t="s">
        <v>77</v>
      </c>
      <c r="F666" t="s">
        <v>39</v>
      </c>
      <c r="G666" t="s">
        <v>35</v>
      </c>
      <c r="H666" t="s">
        <v>35</v>
      </c>
      <c r="I666" t="s">
        <v>37</v>
      </c>
      <c r="J666" t="s">
        <v>35</v>
      </c>
      <c r="K666" t="s">
        <v>35</v>
      </c>
      <c r="L666" t="s">
        <v>37</v>
      </c>
      <c r="M666" t="s">
        <v>35</v>
      </c>
      <c r="N666" t="s">
        <v>35</v>
      </c>
      <c r="O666" t="str">
        <f t="shared" si="22"/>
        <v>True</v>
      </c>
      <c r="P666" s="3">
        <v>138728.1</v>
      </c>
      <c r="Q666" s="3">
        <v>0</v>
      </c>
      <c r="R666" s="3">
        <v>0</v>
      </c>
      <c r="S666" s="3">
        <v>2175.3643661999999</v>
      </c>
      <c r="T666" s="3">
        <v>860.82203879999986</v>
      </c>
      <c r="U666">
        <v>2.62150494384338E-2</v>
      </c>
      <c r="V666" s="3">
        <v>-121511.659224</v>
      </c>
      <c r="W666">
        <v>161.157700136708</v>
      </c>
      <c r="X666">
        <v>0.72604049400000004</v>
      </c>
      <c r="Y666">
        <v>0.28730435599999993</v>
      </c>
      <c r="Z666" s="5">
        <v>0.28352081327496748</v>
      </c>
      <c r="AA666">
        <v>3.3769325302325579</v>
      </c>
      <c r="AB666">
        <v>9.1903860000000002</v>
      </c>
      <c r="AC666">
        <v>3.636763999999999</v>
      </c>
      <c r="AD666" s="5">
        <v>0.28352081327496748</v>
      </c>
      <c r="AE666">
        <v>42.745981395348842</v>
      </c>
      <c r="AF666">
        <v>16.915181395348839</v>
      </c>
      <c r="AG666">
        <v>1.3362993302325581</v>
      </c>
      <c r="AH666" t="str">
        <f t="shared" si="21"/>
        <v>True</v>
      </c>
      <c r="AI666">
        <v>1</v>
      </c>
    </row>
    <row r="667" spans="1:35" x14ac:dyDescent="0.35">
      <c r="A667" t="s">
        <v>772</v>
      </c>
      <c r="B667" t="s">
        <v>758</v>
      </c>
      <c r="C667" t="s">
        <v>33</v>
      </c>
      <c r="D667" t="s">
        <v>39</v>
      </c>
      <c r="E667" t="s">
        <v>77</v>
      </c>
      <c r="F667" t="s">
        <v>39</v>
      </c>
      <c r="G667" t="s">
        <v>35</v>
      </c>
      <c r="H667" t="s">
        <v>37</v>
      </c>
      <c r="I667" t="s">
        <v>37</v>
      </c>
      <c r="J667" t="s">
        <v>35</v>
      </c>
      <c r="K667" t="s">
        <v>35</v>
      </c>
      <c r="L667" t="s">
        <v>35</v>
      </c>
      <c r="M667" t="s">
        <v>35</v>
      </c>
      <c r="N667" t="s">
        <v>35</v>
      </c>
      <c r="O667" t="str">
        <f t="shared" si="22"/>
        <v>True</v>
      </c>
      <c r="P667" s="3">
        <v>160979.20000000001</v>
      </c>
      <c r="Q667" s="3">
        <v>0</v>
      </c>
      <c r="R667" s="3">
        <v>0</v>
      </c>
      <c r="S667" s="3">
        <v>2048.4380151</v>
      </c>
      <c r="T667" s="3">
        <v>987.74838989999955</v>
      </c>
      <c r="U667">
        <v>2.5922585029618701E-2</v>
      </c>
      <c r="V667" s="3">
        <v>-141224.23220200001</v>
      </c>
      <c r="W667">
        <v>162.975917395621</v>
      </c>
      <c r="X667">
        <v>0.6836780870000001</v>
      </c>
      <c r="Y667">
        <v>0.32966676299999992</v>
      </c>
      <c r="Z667" s="5">
        <v>0.32532534506885769</v>
      </c>
      <c r="AA667">
        <v>3.1798980790697682</v>
      </c>
      <c r="AB667">
        <v>8.6541530000000009</v>
      </c>
      <c r="AC667">
        <v>4.1729969999999987</v>
      </c>
      <c r="AD667" s="5">
        <v>0.32532534506885769</v>
      </c>
      <c r="AE667">
        <v>40.25187441860465</v>
      </c>
      <c r="AF667">
        <v>19.40928837209302</v>
      </c>
      <c r="AG667">
        <v>1.533333781395348</v>
      </c>
      <c r="AH667" t="str">
        <f t="shared" si="21"/>
        <v>True</v>
      </c>
      <c r="AI667">
        <v>2</v>
      </c>
    </row>
    <row r="668" spans="1:35" x14ac:dyDescent="0.35">
      <c r="A668" t="s">
        <v>773</v>
      </c>
      <c r="B668" t="s">
        <v>758</v>
      </c>
      <c r="C668" t="s">
        <v>33</v>
      </c>
      <c r="D668" t="s">
        <v>39</v>
      </c>
      <c r="E668" t="s">
        <v>77</v>
      </c>
      <c r="F668" t="s">
        <v>39</v>
      </c>
      <c r="G668" t="s">
        <v>35</v>
      </c>
      <c r="H668" t="s">
        <v>37</v>
      </c>
      <c r="I668" t="s">
        <v>35</v>
      </c>
      <c r="J668" t="s">
        <v>37</v>
      </c>
      <c r="K668" t="s">
        <v>35</v>
      </c>
      <c r="L668" t="s">
        <v>35</v>
      </c>
      <c r="M668" t="s">
        <v>35</v>
      </c>
      <c r="N668" t="s">
        <v>35</v>
      </c>
      <c r="O668" t="str">
        <f t="shared" si="22"/>
        <v>True</v>
      </c>
      <c r="P668" s="3">
        <v>182116.3</v>
      </c>
      <c r="Q668" s="3">
        <v>0</v>
      </c>
      <c r="R668" s="3">
        <v>0</v>
      </c>
      <c r="S668" s="3">
        <v>2165.4591813000002</v>
      </c>
      <c r="T668" s="3">
        <v>870.72722369999997</v>
      </c>
      <c r="U668">
        <v>2.0199240814798E-2</v>
      </c>
      <c r="V668" s="3">
        <v>-164701.75552599999</v>
      </c>
      <c r="W668">
        <v>209.15425065743241</v>
      </c>
      <c r="X668">
        <v>0.72273458099999999</v>
      </c>
      <c r="Y668">
        <v>0.29061026899999998</v>
      </c>
      <c r="Z668" s="5">
        <v>0.28678319034235977</v>
      </c>
      <c r="AA668">
        <v>3.3615561906976739</v>
      </c>
      <c r="AB668">
        <v>9.1485389999999995</v>
      </c>
      <c r="AC668">
        <v>3.6786110000000001</v>
      </c>
      <c r="AD668" s="5">
        <v>0.28678319034235977</v>
      </c>
      <c r="AE668">
        <v>42.551344186046506</v>
      </c>
      <c r="AF668">
        <v>17.10981860465116</v>
      </c>
      <c r="AG668">
        <v>1.3516756697674419</v>
      </c>
      <c r="AH668" t="str">
        <f t="shared" si="21"/>
        <v>True</v>
      </c>
      <c r="AI668">
        <v>2</v>
      </c>
    </row>
    <row r="669" spans="1:35" x14ac:dyDescent="0.35">
      <c r="A669" t="s">
        <v>774</v>
      </c>
      <c r="B669" t="s">
        <v>775</v>
      </c>
      <c r="C669" t="s">
        <v>232</v>
      </c>
      <c r="D669" t="s">
        <v>422</v>
      </c>
      <c r="E669" t="s">
        <v>281</v>
      </c>
      <c r="F669" t="s">
        <v>422</v>
      </c>
      <c r="G669" t="s">
        <v>35</v>
      </c>
      <c r="H669" t="s">
        <v>35</v>
      </c>
      <c r="I669" t="s">
        <v>35</v>
      </c>
      <c r="J669" t="s">
        <v>35</v>
      </c>
      <c r="K669" t="s">
        <v>35</v>
      </c>
      <c r="L669" t="s">
        <v>35</v>
      </c>
      <c r="M669" t="s">
        <v>35</v>
      </c>
      <c r="N669" t="s">
        <v>35</v>
      </c>
      <c r="O669" t="str">
        <f t="shared" si="22"/>
        <v>False</v>
      </c>
      <c r="P669" s="3">
        <v>0</v>
      </c>
      <c r="Q669" s="3">
        <v>0</v>
      </c>
      <c r="R669" s="3">
        <v>0</v>
      </c>
      <c r="S669" s="3">
        <v>4699.153026</v>
      </c>
      <c r="T669" s="3">
        <v>0</v>
      </c>
      <c r="U669">
        <v>0</v>
      </c>
      <c r="V669" s="3">
        <v>0</v>
      </c>
      <c r="W669">
        <v>0</v>
      </c>
      <c r="X669">
        <v>1.5683696199999999</v>
      </c>
      <c r="Y669">
        <v>0</v>
      </c>
      <c r="Z669" s="5">
        <v>0</v>
      </c>
      <c r="AA669">
        <v>71.289528181818184</v>
      </c>
      <c r="AB669">
        <v>19.852779999999999</v>
      </c>
      <c r="AC669">
        <v>0</v>
      </c>
      <c r="AD669" s="5">
        <v>0</v>
      </c>
      <c r="AE669">
        <v>902.39909090909077</v>
      </c>
      <c r="AF669">
        <v>0</v>
      </c>
      <c r="AG669">
        <v>0</v>
      </c>
      <c r="AH669" t="str">
        <f t="shared" si="21"/>
        <v>False</v>
      </c>
      <c r="AI669">
        <v>0</v>
      </c>
    </row>
    <row r="670" spans="1:35" x14ac:dyDescent="0.35">
      <c r="A670" t="s">
        <v>776</v>
      </c>
      <c r="B670" t="s">
        <v>775</v>
      </c>
      <c r="C670" t="s">
        <v>232</v>
      </c>
      <c r="D670" t="s">
        <v>422</v>
      </c>
      <c r="E670" t="s">
        <v>283</v>
      </c>
      <c r="F670" t="s">
        <v>422</v>
      </c>
      <c r="G670" t="s">
        <v>37</v>
      </c>
      <c r="H670" t="s">
        <v>35</v>
      </c>
      <c r="I670" t="s">
        <v>35</v>
      </c>
      <c r="J670" t="s">
        <v>35</v>
      </c>
      <c r="K670" t="s">
        <v>35</v>
      </c>
      <c r="L670" t="s">
        <v>35</v>
      </c>
      <c r="M670" t="s">
        <v>35</v>
      </c>
      <c r="N670" t="s">
        <v>35</v>
      </c>
      <c r="O670" t="str">
        <f t="shared" si="22"/>
        <v>False</v>
      </c>
      <c r="P670" s="3">
        <v>37831.449999999997</v>
      </c>
      <c r="Q670" s="3">
        <v>0</v>
      </c>
      <c r="R670" s="3">
        <v>0</v>
      </c>
      <c r="S670" s="3">
        <v>3415.7750940000001</v>
      </c>
      <c r="T670" s="3">
        <v>1283.3779320000001</v>
      </c>
      <c r="U670">
        <v>0.1433188524362666</v>
      </c>
      <c r="V670" s="3">
        <v>-12163.891360000011</v>
      </c>
      <c r="W670">
        <v>29.478027521514221</v>
      </c>
      <c r="X670">
        <v>1.1400347799999999</v>
      </c>
      <c r="Y670">
        <v>0.42833483999999977</v>
      </c>
      <c r="Z670" s="5">
        <v>0.27310835056853477</v>
      </c>
      <c r="AA670">
        <v>51.819762727272739</v>
      </c>
      <c r="AB670">
        <v>14.430820000000001</v>
      </c>
      <c r="AC670">
        <v>5.4219599999999986</v>
      </c>
      <c r="AD670" s="5">
        <v>0.27310835056853489</v>
      </c>
      <c r="AE670">
        <v>655.94636363636369</v>
      </c>
      <c r="AF670">
        <v>246.4527272727272</v>
      </c>
      <c r="AG670">
        <v>19.469765454545449</v>
      </c>
      <c r="AH670" t="str">
        <f t="shared" si="21"/>
        <v>True</v>
      </c>
      <c r="AI670">
        <v>2</v>
      </c>
    </row>
    <row r="671" spans="1:35" x14ac:dyDescent="0.35">
      <c r="A671" t="s">
        <v>777</v>
      </c>
      <c r="B671" t="s">
        <v>775</v>
      </c>
      <c r="C671" t="s">
        <v>232</v>
      </c>
      <c r="D671" t="s">
        <v>422</v>
      </c>
      <c r="E671" t="s">
        <v>34</v>
      </c>
      <c r="F671" t="s">
        <v>422</v>
      </c>
      <c r="G671" t="s">
        <v>37</v>
      </c>
      <c r="H671" t="s">
        <v>35</v>
      </c>
      <c r="I671" t="s">
        <v>35</v>
      </c>
      <c r="J671" t="s">
        <v>35</v>
      </c>
      <c r="K671" t="s">
        <v>35</v>
      </c>
      <c r="L671" t="s">
        <v>37</v>
      </c>
      <c r="M671" t="s">
        <v>35</v>
      </c>
      <c r="N671" t="s">
        <v>35</v>
      </c>
      <c r="O671" t="str">
        <f t="shared" si="22"/>
        <v>True</v>
      </c>
      <c r="P671" s="3">
        <v>119565.7</v>
      </c>
      <c r="Q671" s="3">
        <v>0</v>
      </c>
      <c r="R671" s="3">
        <v>0</v>
      </c>
      <c r="S671" s="3">
        <v>2259.2813805000001</v>
      </c>
      <c r="T671" s="3">
        <v>2439.8716454999999</v>
      </c>
      <c r="U671">
        <v>8.6210886566966904E-2</v>
      </c>
      <c r="V671" s="3">
        <v>-70768.267090000008</v>
      </c>
      <c r="W671">
        <v>49.004913934928553</v>
      </c>
      <c r="X671">
        <v>0.75404828499999998</v>
      </c>
      <c r="Y671">
        <v>0.81432133499999992</v>
      </c>
      <c r="Z671" s="5">
        <v>0.51921519303593755</v>
      </c>
      <c r="AA671">
        <v>34.274922045454552</v>
      </c>
      <c r="AB671">
        <v>9.5449149999999996</v>
      </c>
      <c r="AC671">
        <v>10.307865</v>
      </c>
      <c r="AD671" s="5">
        <v>0.51921519303593755</v>
      </c>
      <c r="AE671">
        <v>433.85977272727268</v>
      </c>
      <c r="AF671">
        <v>468.53931818181809</v>
      </c>
      <c r="AG671">
        <v>37.014606136363639</v>
      </c>
      <c r="AH671" t="str">
        <f t="shared" si="21"/>
        <v>True</v>
      </c>
      <c r="AI671">
        <v>2</v>
      </c>
    </row>
    <row r="672" spans="1:35" x14ac:dyDescent="0.35">
      <c r="A672" t="s">
        <v>778</v>
      </c>
      <c r="B672" t="s">
        <v>775</v>
      </c>
      <c r="C672" t="s">
        <v>232</v>
      </c>
      <c r="D672" t="s">
        <v>422</v>
      </c>
      <c r="E672" t="s">
        <v>283</v>
      </c>
      <c r="F672" t="s">
        <v>422</v>
      </c>
      <c r="G672" t="s">
        <v>35</v>
      </c>
      <c r="H672" t="s">
        <v>35</v>
      </c>
      <c r="I672" t="s">
        <v>35</v>
      </c>
      <c r="J672" t="s">
        <v>35</v>
      </c>
      <c r="K672" t="s">
        <v>35</v>
      </c>
      <c r="L672" t="s">
        <v>37</v>
      </c>
      <c r="M672" t="s">
        <v>35</v>
      </c>
      <c r="N672" t="s">
        <v>35</v>
      </c>
      <c r="O672" t="str">
        <f t="shared" si="22"/>
        <v>False</v>
      </c>
      <c r="P672" s="3">
        <v>81734.28</v>
      </c>
      <c r="Q672" s="3">
        <v>0</v>
      </c>
      <c r="R672" s="3">
        <v>0</v>
      </c>
      <c r="S672" s="3">
        <v>3395.182194</v>
      </c>
      <c r="T672" s="3">
        <v>1303.970832</v>
      </c>
      <c r="U672">
        <v>6.7400850658989098E-2</v>
      </c>
      <c r="V672" s="3">
        <v>-55654.863360000003</v>
      </c>
      <c r="W672">
        <v>62.681064632893573</v>
      </c>
      <c r="X672">
        <v>1.13316178</v>
      </c>
      <c r="Y672">
        <v>0.4352078399999999</v>
      </c>
      <c r="Z672" s="5">
        <v>0.27749060836819828</v>
      </c>
      <c r="AA672">
        <v>51.507353636363632</v>
      </c>
      <c r="AB672">
        <v>14.343819999999999</v>
      </c>
      <c r="AC672">
        <v>5.5089600000000001</v>
      </c>
      <c r="AD672" s="5">
        <v>0.27749060836819828</v>
      </c>
      <c r="AE672">
        <v>651.99181818181819</v>
      </c>
      <c r="AF672">
        <v>250.4072727272727</v>
      </c>
      <c r="AG672">
        <v>19.782174545454549</v>
      </c>
      <c r="AH672" t="str">
        <f t="shared" si="21"/>
        <v>False</v>
      </c>
      <c r="AI672">
        <v>2</v>
      </c>
    </row>
    <row r="673" spans="1:35" x14ac:dyDescent="0.35">
      <c r="A673" t="s">
        <v>779</v>
      </c>
      <c r="B673" t="s">
        <v>775</v>
      </c>
      <c r="C673" t="s">
        <v>232</v>
      </c>
      <c r="D673" t="s">
        <v>422</v>
      </c>
      <c r="E673" t="s">
        <v>283</v>
      </c>
      <c r="F673" t="s">
        <v>422</v>
      </c>
      <c r="G673" t="s">
        <v>35</v>
      </c>
      <c r="H673" t="s">
        <v>37</v>
      </c>
      <c r="I673" t="s">
        <v>35</v>
      </c>
      <c r="J673" t="s">
        <v>35</v>
      </c>
      <c r="K673" t="s">
        <v>35</v>
      </c>
      <c r="L673" t="s">
        <v>35</v>
      </c>
      <c r="M673" t="s">
        <v>35</v>
      </c>
      <c r="N673" t="s">
        <v>35</v>
      </c>
      <c r="O673" t="str">
        <f t="shared" si="22"/>
        <v>False</v>
      </c>
      <c r="P673" s="3">
        <v>90795.47</v>
      </c>
      <c r="Q673" s="3">
        <v>0</v>
      </c>
      <c r="R673" s="3">
        <v>0</v>
      </c>
      <c r="S673" s="3">
        <v>3350.6849609999999</v>
      </c>
      <c r="T673" s="3">
        <v>1348.468065</v>
      </c>
      <c r="U673">
        <v>6.2744870421398702E-2</v>
      </c>
      <c r="V673" s="3">
        <v>-63826.108699999997</v>
      </c>
      <c r="W673">
        <v>67.332310164868474</v>
      </c>
      <c r="X673">
        <v>1.11831057</v>
      </c>
      <c r="Y673">
        <v>0.45005904999999991</v>
      </c>
      <c r="Z673" s="5">
        <v>0.28695981117002251</v>
      </c>
      <c r="AA673">
        <v>50.832298636363639</v>
      </c>
      <c r="AB673">
        <v>14.15583</v>
      </c>
      <c r="AC673">
        <v>5.6969499999999993</v>
      </c>
      <c r="AD673" s="5">
        <v>0.28695981117002251</v>
      </c>
      <c r="AE673">
        <v>643.44681818181823</v>
      </c>
      <c r="AF673">
        <v>258.95227272727271</v>
      </c>
      <c r="AG673">
        <v>20.457229545454549</v>
      </c>
      <c r="AH673" t="str">
        <f t="shared" si="21"/>
        <v>False</v>
      </c>
      <c r="AI673">
        <v>2</v>
      </c>
    </row>
    <row r="674" spans="1:35" x14ac:dyDescent="0.35">
      <c r="A674" t="s">
        <v>780</v>
      </c>
      <c r="B674" t="s">
        <v>775</v>
      </c>
      <c r="C674" t="s">
        <v>232</v>
      </c>
      <c r="D674" t="s">
        <v>422</v>
      </c>
      <c r="E674" t="s">
        <v>283</v>
      </c>
      <c r="F674" t="s">
        <v>422</v>
      </c>
      <c r="G674" t="s">
        <v>37</v>
      </c>
      <c r="H674" t="s">
        <v>35</v>
      </c>
      <c r="I674" t="s">
        <v>35</v>
      </c>
      <c r="J674" t="s">
        <v>35</v>
      </c>
      <c r="K674" t="s">
        <v>35</v>
      </c>
      <c r="L674" t="s">
        <v>35</v>
      </c>
      <c r="M674" t="s">
        <v>37</v>
      </c>
      <c r="N674" t="s">
        <v>35</v>
      </c>
      <c r="O674" t="str">
        <f t="shared" si="22"/>
        <v>True</v>
      </c>
      <c r="P674" s="3">
        <v>93218.45</v>
      </c>
      <c r="Q674" s="3">
        <v>0</v>
      </c>
      <c r="R674" s="3">
        <v>0</v>
      </c>
      <c r="S674" s="3">
        <v>3359.5162380000002</v>
      </c>
      <c r="T674" s="3">
        <v>1339.636788</v>
      </c>
      <c r="U674">
        <v>6.0713732099171303E-2</v>
      </c>
      <c r="V674" s="3">
        <v>-66425.714240000001</v>
      </c>
      <c r="W674">
        <v>69.584868700993013</v>
      </c>
      <c r="X674">
        <v>1.1212580599999999</v>
      </c>
      <c r="Y674">
        <v>0.44711156000000002</v>
      </c>
      <c r="Z674" s="5">
        <v>0.28508047739409798</v>
      </c>
      <c r="AA674">
        <v>50.966275454545453</v>
      </c>
      <c r="AB674">
        <v>14.19314</v>
      </c>
      <c r="AC674">
        <v>5.6596399999999996</v>
      </c>
      <c r="AD674" s="5">
        <v>0.28508047739409792</v>
      </c>
      <c r="AE674">
        <v>645.14272727272726</v>
      </c>
      <c r="AF674">
        <v>257.25636363636357</v>
      </c>
      <c r="AG674">
        <v>20.323252727272742</v>
      </c>
      <c r="AH674" t="str">
        <f t="shared" si="21"/>
        <v>True</v>
      </c>
      <c r="AI674">
        <v>2</v>
      </c>
    </row>
    <row r="675" spans="1:35" x14ac:dyDescent="0.35">
      <c r="A675" t="s">
        <v>781</v>
      </c>
      <c r="B675" t="s">
        <v>775</v>
      </c>
      <c r="C675" t="s">
        <v>232</v>
      </c>
      <c r="D675" t="s">
        <v>422</v>
      </c>
      <c r="E675" t="s">
        <v>34</v>
      </c>
      <c r="F675" t="s">
        <v>422</v>
      </c>
      <c r="G675" t="s">
        <v>35</v>
      </c>
      <c r="H675" t="s">
        <v>37</v>
      </c>
      <c r="I675" t="s">
        <v>35</v>
      </c>
      <c r="J675" t="s">
        <v>35</v>
      </c>
      <c r="K675" t="s">
        <v>35</v>
      </c>
      <c r="L675" t="s">
        <v>37</v>
      </c>
      <c r="M675" t="s">
        <v>35</v>
      </c>
      <c r="N675" t="s">
        <v>35</v>
      </c>
      <c r="O675" t="str">
        <f t="shared" si="22"/>
        <v>True</v>
      </c>
      <c r="P675" s="3">
        <v>172529.8</v>
      </c>
      <c r="Q675" s="3">
        <v>0</v>
      </c>
      <c r="R675" s="3">
        <v>0</v>
      </c>
      <c r="S675" s="3">
        <v>2241.9767169000002</v>
      </c>
      <c r="T675" s="3">
        <v>2457.1763090999998</v>
      </c>
      <c r="U675">
        <v>6.0169159182935299E-2</v>
      </c>
      <c r="V675" s="3">
        <v>-123386.273818</v>
      </c>
      <c r="W675">
        <v>70.214660364845045</v>
      </c>
      <c r="X675">
        <v>0.74827275300000007</v>
      </c>
      <c r="Y675">
        <v>0.82009686699999984</v>
      </c>
      <c r="Z675" s="5">
        <v>0.52289769996947522</v>
      </c>
      <c r="AA675">
        <v>34.012397863636373</v>
      </c>
      <c r="AB675">
        <v>9.4718070000000001</v>
      </c>
      <c r="AC675">
        <v>10.380972999999999</v>
      </c>
      <c r="AD675" s="5">
        <v>0.52289769996947533</v>
      </c>
      <c r="AE675">
        <v>430.53668181818188</v>
      </c>
      <c r="AF675">
        <v>471.86240909090913</v>
      </c>
      <c r="AG675">
        <v>37.277130318181818</v>
      </c>
      <c r="AH675" t="str">
        <f t="shared" si="21"/>
        <v>False</v>
      </c>
      <c r="AI675">
        <v>2</v>
      </c>
    </row>
    <row r="676" spans="1:35" x14ac:dyDescent="0.35">
      <c r="A676" t="s">
        <v>782</v>
      </c>
      <c r="B676" t="s">
        <v>775</v>
      </c>
      <c r="C676" t="s">
        <v>232</v>
      </c>
      <c r="D676" t="s">
        <v>422</v>
      </c>
      <c r="E676" t="s">
        <v>34</v>
      </c>
      <c r="F676" t="s">
        <v>422</v>
      </c>
      <c r="G676" t="s">
        <v>37</v>
      </c>
      <c r="H676" t="s">
        <v>35</v>
      </c>
      <c r="I676" t="s">
        <v>35</v>
      </c>
      <c r="J676" t="s">
        <v>35</v>
      </c>
      <c r="K676" t="s">
        <v>35</v>
      </c>
      <c r="L676" t="s">
        <v>37</v>
      </c>
      <c r="M676" t="s">
        <v>37</v>
      </c>
      <c r="N676" t="s">
        <v>35</v>
      </c>
      <c r="O676" t="str">
        <f t="shared" si="22"/>
        <v>True</v>
      </c>
      <c r="P676" s="3">
        <v>174952.7</v>
      </c>
      <c r="Q676" s="3">
        <v>0</v>
      </c>
      <c r="R676" s="3">
        <v>0</v>
      </c>
      <c r="S676" s="3">
        <v>2212.7045013000002</v>
      </c>
      <c r="T676" s="3">
        <v>2486.4485246999998</v>
      </c>
      <c r="U676">
        <v>6.0042748697219303E-2</v>
      </c>
      <c r="V676" s="3">
        <v>-125223.729506</v>
      </c>
      <c r="W676">
        <v>70.362486197500814</v>
      </c>
      <c r="X676">
        <v>0.738502981</v>
      </c>
      <c r="Y676">
        <v>0.82986663899999991</v>
      </c>
      <c r="Z676" s="5">
        <v>0.52912695350474848</v>
      </c>
      <c r="AA676">
        <v>33.568317318181819</v>
      </c>
      <c r="AB676">
        <v>9.3481389999999998</v>
      </c>
      <c r="AC676">
        <v>10.504640999999999</v>
      </c>
      <c r="AD676" s="5">
        <v>0.52912695350474848</v>
      </c>
      <c r="AE676">
        <v>424.91540909090912</v>
      </c>
      <c r="AF676">
        <v>477.48368181818182</v>
      </c>
      <c r="AG676">
        <v>37.721210863636372</v>
      </c>
      <c r="AH676" t="str">
        <f t="shared" si="21"/>
        <v>True</v>
      </c>
      <c r="AI676">
        <v>2</v>
      </c>
    </row>
    <row r="677" spans="1:35" x14ac:dyDescent="0.35">
      <c r="A677" t="s">
        <v>783</v>
      </c>
      <c r="B677" t="s">
        <v>775</v>
      </c>
      <c r="C677" t="s">
        <v>232</v>
      </c>
      <c r="D677" t="s">
        <v>422</v>
      </c>
      <c r="E677" t="s">
        <v>34</v>
      </c>
      <c r="F677" t="s">
        <v>422</v>
      </c>
      <c r="G677" t="s">
        <v>35</v>
      </c>
      <c r="H677" t="s">
        <v>37</v>
      </c>
      <c r="I677" t="s">
        <v>35</v>
      </c>
      <c r="J677" t="s">
        <v>35</v>
      </c>
      <c r="K677" t="s">
        <v>35</v>
      </c>
      <c r="L677" t="s">
        <v>37</v>
      </c>
      <c r="M677" t="s">
        <v>37</v>
      </c>
      <c r="N677" t="s">
        <v>35</v>
      </c>
      <c r="O677" t="str">
        <f t="shared" si="22"/>
        <v>True</v>
      </c>
      <c r="P677" s="3">
        <v>227916.79999999999</v>
      </c>
      <c r="Q677" s="3">
        <v>0</v>
      </c>
      <c r="R677" s="3">
        <v>0</v>
      </c>
      <c r="S677" s="3">
        <v>2189.5381989000002</v>
      </c>
      <c r="T677" s="3">
        <v>2509.6148271000002</v>
      </c>
      <c r="U677">
        <v>4.6519225436650498E-2</v>
      </c>
      <c r="V677" s="3">
        <v>-177724.50345799999</v>
      </c>
      <c r="W677">
        <v>90.817442397473641</v>
      </c>
      <c r="X677">
        <v>0.73077109299999998</v>
      </c>
      <c r="Y677">
        <v>0.83759852699999993</v>
      </c>
      <c r="Z677" s="5">
        <v>0.53405684241703177</v>
      </c>
      <c r="AA677">
        <v>33.216867863636359</v>
      </c>
      <c r="AB677">
        <v>9.2502669999999991</v>
      </c>
      <c r="AC677">
        <v>10.602513</v>
      </c>
      <c r="AD677" s="5">
        <v>0.53405684241703177</v>
      </c>
      <c r="AE677">
        <v>420.46668181818183</v>
      </c>
      <c r="AF677">
        <v>481.93240909090912</v>
      </c>
      <c r="AG677">
        <v>38.072660318181818</v>
      </c>
      <c r="AH677" t="str">
        <f t="shared" si="21"/>
        <v>False</v>
      </c>
      <c r="AI677">
        <v>2</v>
      </c>
    </row>
    <row r="678" spans="1:35" x14ac:dyDescent="0.35">
      <c r="A678" t="s">
        <v>784</v>
      </c>
      <c r="B678" t="s">
        <v>775</v>
      </c>
      <c r="C678" t="s">
        <v>232</v>
      </c>
      <c r="D678" t="s">
        <v>422</v>
      </c>
      <c r="E678" t="s">
        <v>283</v>
      </c>
      <c r="F678" t="s">
        <v>422</v>
      </c>
      <c r="G678" t="s">
        <v>35</v>
      </c>
      <c r="H678" t="s">
        <v>35</v>
      </c>
      <c r="I678" t="s">
        <v>35</v>
      </c>
      <c r="J678" t="s">
        <v>35</v>
      </c>
      <c r="K678" t="s">
        <v>35</v>
      </c>
      <c r="L678" t="s">
        <v>37</v>
      </c>
      <c r="M678" t="s">
        <v>37</v>
      </c>
      <c r="N678" t="s">
        <v>35</v>
      </c>
      <c r="O678" t="str">
        <f t="shared" si="22"/>
        <v>True</v>
      </c>
      <c r="P678" s="3">
        <v>137121.29999999999</v>
      </c>
      <c r="Q678" s="3">
        <v>0</v>
      </c>
      <c r="R678" s="3">
        <v>0</v>
      </c>
      <c r="S678" s="3">
        <v>3335.7278879999999</v>
      </c>
      <c r="T678" s="3">
        <v>1363.4251380000001</v>
      </c>
      <c r="U678">
        <v>4.2007623906716099E-2</v>
      </c>
      <c r="V678" s="3">
        <v>-109852.79724</v>
      </c>
      <c r="W678">
        <v>100.5711983579402</v>
      </c>
      <c r="X678">
        <v>1.11331856</v>
      </c>
      <c r="Y678">
        <v>0.45505106000000001</v>
      </c>
      <c r="Z678" s="5">
        <v>0.29014274071439872</v>
      </c>
      <c r="AA678">
        <v>50.605389090909092</v>
      </c>
      <c r="AB678">
        <v>14.092639999999999</v>
      </c>
      <c r="AC678">
        <v>5.7601399999999998</v>
      </c>
      <c r="AD678" s="5">
        <v>0.29014274071439872</v>
      </c>
      <c r="AE678">
        <v>640.57454545454539</v>
      </c>
      <c r="AF678">
        <v>261.82454545454539</v>
      </c>
      <c r="AG678">
        <v>20.684139090909099</v>
      </c>
      <c r="AH678" t="str">
        <f t="shared" si="21"/>
        <v>False</v>
      </c>
      <c r="AI678">
        <v>2</v>
      </c>
    </row>
    <row r="679" spans="1:35" x14ac:dyDescent="0.35">
      <c r="A679" t="s">
        <v>785</v>
      </c>
      <c r="B679" t="s">
        <v>775</v>
      </c>
      <c r="C679" t="s">
        <v>232</v>
      </c>
      <c r="D679" t="s">
        <v>422</v>
      </c>
      <c r="E679" t="s">
        <v>283</v>
      </c>
      <c r="F679" t="s">
        <v>422</v>
      </c>
      <c r="G679" t="s">
        <v>35</v>
      </c>
      <c r="H679" t="s">
        <v>37</v>
      </c>
      <c r="I679" t="s">
        <v>35</v>
      </c>
      <c r="J679" t="s">
        <v>35</v>
      </c>
      <c r="K679" t="s">
        <v>35</v>
      </c>
      <c r="L679" t="s">
        <v>35</v>
      </c>
      <c r="M679" t="s">
        <v>37</v>
      </c>
      <c r="N679" t="s">
        <v>35</v>
      </c>
      <c r="O679" t="str">
        <f t="shared" si="22"/>
        <v>True</v>
      </c>
      <c r="P679" s="3">
        <v>146182.5</v>
      </c>
      <c r="Q679" s="3">
        <v>0</v>
      </c>
      <c r="R679" s="3">
        <v>0</v>
      </c>
      <c r="S679" s="3">
        <v>3285.9475109999998</v>
      </c>
      <c r="T679" s="3">
        <v>1413.2055150000001</v>
      </c>
      <c r="U679">
        <v>4.0842440100559201E-2</v>
      </c>
      <c r="V679" s="3">
        <v>-117918.3897</v>
      </c>
      <c r="W679">
        <v>103.4403690393184</v>
      </c>
      <c r="X679">
        <v>1.0967040699999999</v>
      </c>
      <c r="Y679">
        <v>0.47166554999999999</v>
      </c>
      <c r="Z679" s="5">
        <v>0.30073621931034339</v>
      </c>
      <c r="AA679">
        <v>49.850185000000003</v>
      </c>
      <c r="AB679">
        <v>13.88233</v>
      </c>
      <c r="AC679">
        <v>5.9704499999999996</v>
      </c>
      <c r="AD679" s="5">
        <v>0.30073621931034339</v>
      </c>
      <c r="AE679">
        <v>631.01499999999999</v>
      </c>
      <c r="AF679">
        <v>271.3840909090909</v>
      </c>
      <c r="AG679">
        <v>21.439343181818181</v>
      </c>
      <c r="AH679" t="str">
        <f t="shared" si="21"/>
        <v>False</v>
      </c>
      <c r="AI679">
        <v>2</v>
      </c>
    </row>
    <row r="680" spans="1:35" x14ac:dyDescent="0.35">
      <c r="A680" t="s">
        <v>786</v>
      </c>
      <c r="B680" t="s">
        <v>775</v>
      </c>
      <c r="C680" t="s">
        <v>232</v>
      </c>
      <c r="D680" t="s">
        <v>422</v>
      </c>
      <c r="E680" t="s">
        <v>39</v>
      </c>
      <c r="F680" t="s">
        <v>422</v>
      </c>
      <c r="G680" t="s">
        <v>37</v>
      </c>
      <c r="H680" t="s">
        <v>35</v>
      </c>
      <c r="I680" t="s">
        <v>37</v>
      </c>
      <c r="J680" t="s">
        <v>35</v>
      </c>
      <c r="K680" t="s">
        <v>35</v>
      </c>
      <c r="L680" t="s">
        <v>37</v>
      </c>
      <c r="M680" t="s">
        <v>35</v>
      </c>
      <c r="N680" t="s">
        <v>35</v>
      </c>
      <c r="O680" t="str">
        <f t="shared" si="22"/>
        <v>True</v>
      </c>
      <c r="P680" s="3">
        <v>357363.4</v>
      </c>
      <c r="Q680" s="3">
        <v>0</v>
      </c>
      <c r="R680" s="3">
        <v>0</v>
      </c>
      <c r="S680" s="3">
        <v>1496.5232049000001</v>
      </c>
      <c r="T680" s="3">
        <v>3202.6298210999989</v>
      </c>
      <c r="U680">
        <v>3.7861552134326001E-2</v>
      </c>
      <c r="V680" s="3">
        <v>-293310.80357800011</v>
      </c>
      <c r="W680">
        <v>111.584360342107</v>
      </c>
      <c r="X680">
        <v>0.49947331299999997</v>
      </c>
      <c r="Y680">
        <v>1.0688963069999999</v>
      </c>
      <c r="Z680" s="5">
        <v>0.68153341748611529</v>
      </c>
      <c r="AA680">
        <v>22.703332409090908</v>
      </c>
      <c r="AB680">
        <v>6.3224470000000004</v>
      </c>
      <c r="AC680">
        <v>13.530333000000001</v>
      </c>
      <c r="AD680" s="5">
        <v>0.68153341748611529</v>
      </c>
      <c r="AE680">
        <v>287.38395454545463</v>
      </c>
      <c r="AF680">
        <v>615.01513636363632</v>
      </c>
      <c r="AG680">
        <v>48.58619577272728</v>
      </c>
      <c r="AH680" t="str">
        <f t="shared" si="21"/>
        <v>True</v>
      </c>
      <c r="AI680">
        <v>2</v>
      </c>
    </row>
    <row r="681" spans="1:35" x14ac:dyDescent="0.35">
      <c r="A681" t="s">
        <v>787</v>
      </c>
      <c r="B681" t="s">
        <v>775</v>
      </c>
      <c r="C681" t="s">
        <v>232</v>
      </c>
      <c r="D681" t="s">
        <v>422</v>
      </c>
      <c r="E681" t="s">
        <v>34</v>
      </c>
      <c r="F681" t="s">
        <v>422</v>
      </c>
      <c r="G681" t="s">
        <v>37</v>
      </c>
      <c r="H681" t="s">
        <v>35</v>
      </c>
      <c r="I681" t="s">
        <v>37</v>
      </c>
      <c r="J681" t="s">
        <v>35</v>
      </c>
      <c r="K681" t="s">
        <v>35</v>
      </c>
      <c r="L681" t="s">
        <v>35</v>
      </c>
      <c r="M681" t="s">
        <v>35</v>
      </c>
      <c r="N681" t="s">
        <v>35</v>
      </c>
      <c r="O681" t="str">
        <f t="shared" si="22"/>
        <v>True</v>
      </c>
      <c r="P681" s="3">
        <v>275629.09999999998</v>
      </c>
      <c r="Q681" s="3">
        <v>0</v>
      </c>
      <c r="R681" s="3">
        <v>0</v>
      </c>
      <c r="S681" s="3">
        <v>2427.9975899999999</v>
      </c>
      <c r="T681" s="3">
        <v>2271.155436</v>
      </c>
      <c r="U681">
        <v>3.4811563800774298E-2</v>
      </c>
      <c r="V681" s="3">
        <v>-230205.99127999999</v>
      </c>
      <c r="W681">
        <v>121.3607380767575</v>
      </c>
      <c r="X681">
        <v>0.81035829999999998</v>
      </c>
      <c r="Y681">
        <v>0.75801131999999993</v>
      </c>
      <c r="Z681" s="5">
        <v>0.48331165710797169</v>
      </c>
      <c r="AA681">
        <v>36.834468181818181</v>
      </c>
      <c r="AB681">
        <v>10.2577</v>
      </c>
      <c r="AC681">
        <v>9.5950799999999994</v>
      </c>
      <c r="AD681" s="5">
        <v>0.48331165710797169</v>
      </c>
      <c r="AE681">
        <v>466.25909090909101</v>
      </c>
      <c r="AF681">
        <v>436.14</v>
      </c>
      <c r="AG681">
        <v>34.455060000000003</v>
      </c>
      <c r="AH681" t="str">
        <f t="shared" si="21"/>
        <v>True</v>
      </c>
      <c r="AI681">
        <v>2</v>
      </c>
    </row>
    <row r="682" spans="1:35" x14ac:dyDescent="0.35">
      <c r="A682" t="s">
        <v>788</v>
      </c>
      <c r="B682" t="s">
        <v>775</v>
      </c>
      <c r="C682" t="s">
        <v>232</v>
      </c>
      <c r="D682" t="s">
        <v>422</v>
      </c>
      <c r="E682" t="s">
        <v>39</v>
      </c>
      <c r="F682" t="s">
        <v>422</v>
      </c>
      <c r="G682" t="s">
        <v>37</v>
      </c>
      <c r="H682" t="s">
        <v>35</v>
      </c>
      <c r="I682" t="s">
        <v>35</v>
      </c>
      <c r="J682" t="s">
        <v>37</v>
      </c>
      <c r="K682" t="s">
        <v>35</v>
      </c>
      <c r="L682" t="s">
        <v>37</v>
      </c>
      <c r="M682" t="s">
        <v>35</v>
      </c>
      <c r="N682" t="s">
        <v>35</v>
      </c>
      <c r="O682" t="str">
        <f t="shared" si="22"/>
        <v>True</v>
      </c>
      <c r="P682" s="3">
        <v>411408.3</v>
      </c>
      <c r="Q682" s="3">
        <v>0</v>
      </c>
      <c r="R682" s="3">
        <v>0</v>
      </c>
      <c r="S682" s="3">
        <v>1479.363165</v>
      </c>
      <c r="T682" s="3">
        <v>3219.7898610000002</v>
      </c>
      <c r="U682">
        <v>3.3064063121721103E-2</v>
      </c>
      <c r="V682" s="3">
        <v>-347012.50277999998</v>
      </c>
      <c r="W682">
        <v>127.7748914558744</v>
      </c>
      <c r="X682">
        <v>0.49374604999999999</v>
      </c>
      <c r="Y682">
        <v>1.07462357</v>
      </c>
      <c r="Z682" s="5">
        <v>0.68518514787349682</v>
      </c>
      <c r="AA682">
        <v>22.44300227272727</v>
      </c>
      <c r="AB682">
        <v>6.2499500000000001</v>
      </c>
      <c r="AC682">
        <v>13.602830000000001</v>
      </c>
      <c r="AD682" s="5">
        <v>0.68518514787349682</v>
      </c>
      <c r="AE682">
        <v>284.08863636363628</v>
      </c>
      <c r="AF682">
        <v>618.31045454545449</v>
      </c>
      <c r="AG682">
        <v>48.846525909090907</v>
      </c>
      <c r="AH682" t="str">
        <f t="shared" si="21"/>
        <v>True</v>
      </c>
      <c r="AI682">
        <v>2</v>
      </c>
    </row>
    <row r="683" spans="1:35" x14ac:dyDescent="0.35">
      <c r="A683" t="s">
        <v>789</v>
      </c>
      <c r="B683" t="s">
        <v>775</v>
      </c>
      <c r="C683" t="s">
        <v>232</v>
      </c>
      <c r="D683" t="s">
        <v>422</v>
      </c>
      <c r="E683" t="s">
        <v>39</v>
      </c>
      <c r="F683" t="s">
        <v>422</v>
      </c>
      <c r="G683" t="s">
        <v>37</v>
      </c>
      <c r="H683" t="s">
        <v>35</v>
      </c>
      <c r="I683" t="s">
        <v>37</v>
      </c>
      <c r="J683" t="s">
        <v>35</v>
      </c>
      <c r="K683" t="s">
        <v>35</v>
      </c>
      <c r="L683" t="s">
        <v>37</v>
      </c>
      <c r="M683" t="s">
        <v>37</v>
      </c>
      <c r="N683" t="s">
        <v>35</v>
      </c>
      <c r="O683" t="str">
        <f t="shared" si="22"/>
        <v>True</v>
      </c>
      <c r="P683" s="3">
        <v>412750.4</v>
      </c>
      <c r="Q683" s="3">
        <v>0</v>
      </c>
      <c r="R683" s="3">
        <v>0</v>
      </c>
      <c r="S683" s="3">
        <v>1468.9085994</v>
      </c>
      <c r="T683" s="3">
        <v>3230.2444266000002</v>
      </c>
      <c r="U683">
        <v>3.3063560931739802E-2</v>
      </c>
      <c r="V683" s="3">
        <v>-348145.51146800001</v>
      </c>
      <c r="W683">
        <v>127.7768321806041</v>
      </c>
      <c r="X683">
        <v>0.490256778</v>
      </c>
      <c r="Y683">
        <v>1.0781128419999999</v>
      </c>
      <c r="Z683" s="5">
        <v>0.68740992445390514</v>
      </c>
      <c r="AA683">
        <v>22.284399000000001</v>
      </c>
      <c r="AB683">
        <v>6.2057820000000001</v>
      </c>
      <c r="AC683">
        <v>13.646998</v>
      </c>
      <c r="AD683" s="5">
        <v>0.68740992445390525</v>
      </c>
      <c r="AE683">
        <v>282.08100000000002</v>
      </c>
      <c r="AF683">
        <v>620.31809090909087</v>
      </c>
      <c r="AG683">
        <v>49.005129181818177</v>
      </c>
      <c r="AH683" t="str">
        <f t="shared" si="21"/>
        <v>True</v>
      </c>
      <c r="AI683">
        <v>2</v>
      </c>
    </row>
    <row r="684" spans="1:35" x14ac:dyDescent="0.35">
      <c r="A684" t="s">
        <v>790</v>
      </c>
      <c r="B684" t="s">
        <v>775</v>
      </c>
      <c r="C684" t="s">
        <v>232</v>
      </c>
      <c r="D684" t="s">
        <v>422</v>
      </c>
      <c r="E684" t="s">
        <v>39</v>
      </c>
      <c r="F684" t="s">
        <v>422</v>
      </c>
      <c r="G684" t="s">
        <v>35</v>
      </c>
      <c r="H684" t="s">
        <v>37</v>
      </c>
      <c r="I684" t="s">
        <v>37</v>
      </c>
      <c r="J684" t="s">
        <v>35</v>
      </c>
      <c r="K684" t="s">
        <v>35</v>
      </c>
      <c r="L684" t="s">
        <v>37</v>
      </c>
      <c r="M684" t="s">
        <v>35</v>
      </c>
      <c r="N684" t="s">
        <v>35</v>
      </c>
      <c r="O684" t="str">
        <f t="shared" si="22"/>
        <v>True</v>
      </c>
      <c r="P684" s="3">
        <v>410327.4</v>
      </c>
      <c r="Q684" s="3">
        <v>0</v>
      </c>
      <c r="R684" s="3">
        <v>0</v>
      </c>
      <c r="S684" s="3">
        <v>1575.7767558</v>
      </c>
      <c r="T684" s="3">
        <v>3123.376270199999</v>
      </c>
      <c r="U684">
        <v>3.2158481251800299E-2</v>
      </c>
      <c r="V684" s="3">
        <v>-347859.87459600013</v>
      </c>
      <c r="W684">
        <v>131.37302857645309</v>
      </c>
      <c r="X684">
        <v>0.525924646</v>
      </c>
      <c r="Y684">
        <v>1.0424449739999999</v>
      </c>
      <c r="Z684" s="5">
        <v>0.66466792056326618</v>
      </c>
      <c r="AA684">
        <v>23.905665727272719</v>
      </c>
      <c r="AB684">
        <v>6.6572740000000001</v>
      </c>
      <c r="AC684">
        <v>13.195506</v>
      </c>
      <c r="AD684" s="5">
        <v>0.66466792056326618</v>
      </c>
      <c r="AE684">
        <v>302.60336363636372</v>
      </c>
      <c r="AF684">
        <v>599.79572727272716</v>
      </c>
      <c r="AG684">
        <v>47.383862454545458</v>
      </c>
      <c r="AH684" t="str">
        <f t="shared" si="21"/>
        <v>True</v>
      </c>
      <c r="AI684">
        <v>2</v>
      </c>
    </row>
    <row r="685" spans="1:35" x14ac:dyDescent="0.35">
      <c r="A685" t="s">
        <v>791</v>
      </c>
      <c r="B685" t="s">
        <v>792</v>
      </c>
      <c r="C685" t="s">
        <v>63</v>
      </c>
      <c r="D685" t="s">
        <v>52</v>
      </c>
      <c r="E685" t="s">
        <v>52</v>
      </c>
      <c r="F685" t="s">
        <v>52</v>
      </c>
      <c r="G685" t="s">
        <v>35</v>
      </c>
      <c r="H685" t="s">
        <v>35</v>
      </c>
      <c r="I685" t="s">
        <v>35</v>
      </c>
      <c r="J685" t="s">
        <v>35</v>
      </c>
      <c r="K685" t="s">
        <v>35</v>
      </c>
      <c r="L685" t="s">
        <v>35</v>
      </c>
      <c r="M685" t="s">
        <v>35</v>
      </c>
      <c r="N685" t="s">
        <v>35</v>
      </c>
      <c r="O685" t="str">
        <f t="shared" si="22"/>
        <v>False</v>
      </c>
      <c r="P685" s="3">
        <v>0</v>
      </c>
      <c r="Q685" s="3">
        <v>1372.9160691</v>
      </c>
      <c r="R685" s="3">
        <v>0</v>
      </c>
      <c r="S685" s="3">
        <v>2698.9796999999999</v>
      </c>
      <c r="T685" s="3">
        <v>0</v>
      </c>
      <c r="U685">
        <v>0</v>
      </c>
      <c r="V685" s="3">
        <v>0</v>
      </c>
      <c r="W685">
        <v>0</v>
      </c>
      <c r="X685">
        <v>4.6754375899999996</v>
      </c>
      <c r="Y685">
        <v>-8.8817841970012523E-16</v>
      </c>
      <c r="Z685" s="5">
        <v>-1.899669073970305E-16</v>
      </c>
      <c r="AA685">
        <v>5.8442969875000008</v>
      </c>
      <c r="AB685">
        <v>29.506450000000001</v>
      </c>
      <c r="AC685">
        <v>0</v>
      </c>
      <c r="AD685" s="5">
        <v>0</v>
      </c>
      <c r="AE685">
        <v>36.883062500000001</v>
      </c>
      <c r="AF685">
        <v>0</v>
      </c>
      <c r="AG685">
        <v>0</v>
      </c>
      <c r="AH685" t="str">
        <f t="shared" si="21"/>
        <v>False</v>
      </c>
      <c r="AI685">
        <v>0</v>
      </c>
    </row>
    <row r="686" spans="1:35" x14ac:dyDescent="0.35">
      <c r="A686" t="s">
        <v>793</v>
      </c>
      <c r="B686" t="s">
        <v>792</v>
      </c>
      <c r="C686" t="s">
        <v>63</v>
      </c>
      <c r="D686" t="s">
        <v>52</v>
      </c>
      <c r="E686" t="s">
        <v>52</v>
      </c>
      <c r="F686" t="s">
        <v>52</v>
      </c>
      <c r="G686" t="s">
        <v>37</v>
      </c>
      <c r="H686" t="s">
        <v>35</v>
      </c>
      <c r="I686" t="s">
        <v>35</v>
      </c>
      <c r="J686" t="s">
        <v>35</v>
      </c>
      <c r="K686" t="s">
        <v>35</v>
      </c>
      <c r="L686" t="s">
        <v>35</v>
      </c>
      <c r="M686" t="s">
        <v>35</v>
      </c>
      <c r="N686" t="s">
        <v>35</v>
      </c>
      <c r="O686" t="str">
        <f t="shared" si="22"/>
        <v>False</v>
      </c>
      <c r="P686" s="3">
        <v>17569.169999999998</v>
      </c>
      <c r="Q686" s="3">
        <v>1278.5766408</v>
      </c>
      <c r="R686" s="3">
        <v>94.339428300000023</v>
      </c>
      <c r="S686" s="3">
        <v>2689.9282750000002</v>
      </c>
      <c r="T686" s="3">
        <v>9.0514250000000942</v>
      </c>
      <c r="U686">
        <v>6.4563095467799703E-2</v>
      </c>
      <c r="V686" s="3">
        <v>-15501.352934</v>
      </c>
      <c r="W686">
        <v>169.92963535198891</v>
      </c>
      <c r="X686">
        <v>4.4247297900000007</v>
      </c>
      <c r="Y686">
        <v>0.25070779999999893</v>
      </c>
      <c r="Z686" s="5">
        <v>5.3622317734755301E-2</v>
      </c>
      <c r="AA686">
        <v>5.5309122375000008</v>
      </c>
      <c r="AB686">
        <v>28.372129999999999</v>
      </c>
      <c r="AC686">
        <v>1.134320000000002</v>
      </c>
      <c r="AD686" s="5">
        <v>3.8443120063579403E-2</v>
      </c>
      <c r="AE686">
        <v>35.465162499999998</v>
      </c>
      <c r="AF686">
        <v>1.417900000000003</v>
      </c>
      <c r="AG686">
        <v>0.31338474999999999</v>
      </c>
      <c r="AH686" t="str">
        <f t="shared" si="21"/>
        <v>True</v>
      </c>
      <c r="AI686">
        <v>1</v>
      </c>
    </row>
    <row r="687" spans="1:35" x14ac:dyDescent="0.35">
      <c r="A687" t="s">
        <v>794</v>
      </c>
      <c r="B687" t="s">
        <v>792</v>
      </c>
      <c r="C687" t="s">
        <v>63</v>
      </c>
      <c r="D687" t="s">
        <v>52</v>
      </c>
      <c r="E687" t="s">
        <v>77</v>
      </c>
      <c r="F687" t="s">
        <v>52</v>
      </c>
      <c r="G687" t="s">
        <v>37</v>
      </c>
      <c r="H687" t="s">
        <v>35</v>
      </c>
      <c r="I687" t="s">
        <v>35</v>
      </c>
      <c r="J687" t="s">
        <v>35</v>
      </c>
      <c r="K687" t="s">
        <v>37</v>
      </c>
      <c r="L687" t="s">
        <v>35</v>
      </c>
      <c r="M687" t="s">
        <v>35</v>
      </c>
      <c r="N687" t="s">
        <v>35</v>
      </c>
      <c r="O687" t="str">
        <f t="shared" si="22"/>
        <v>True</v>
      </c>
      <c r="P687" s="3">
        <v>96216.36</v>
      </c>
      <c r="Q687" s="3">
        <v>1107.0610443</v>
      </c>
      <c r="R687" s="3">
        <v>265.85502480000008</v>
      </c>
      <c r="S687" s="3">
        <v>2673.5397250000001</v>
      </c>
      <c r="T687" s="3">
        <v>25.439974999999929</v>
      </c>
      <c r="U687">
        <v>3.32194026047129E-2</v>
      </c>
      <c r="V687" s="3">
        <v>-90390.460003999993</v>
      </c>
      <c r="W687">
        <v>330.3055667486949</v>
      </c>
      <c r="X687">
        <v>3.9689527199999999</v>
      </c>
      <c r="Y687">
        <v>0.70648486999999971</v>
      </c>
      <c r="Z687" s="5">
        <v>0.1511056144800341</v>
      </c>
      <c r="AA687">
        <v>4.9611909000000001</v>
      </c>
      <c r="AB687">
        <v>26.310199999999998</v>
      </c>
      <c r="AC687">
        <v>3.1962499999999991</v>
      </c>
      <c r="AD687" s="5">
        <v>0.10832377327669029</v>
      </c>
      <c r="AE687">
        <v>32.887749999999997</v>
      </c>
      <c r="AF687">
        <v>3.9953124999999989</v>
      </c>
      <c r="AG687">
        <v>0.88310608750000075</v>
      </c>
      <c r="AH687" t="str">
        <f t="shared" si="21"/>
        <v>True</v>
      </c>
      <c r="AI687">
        <v>2</v>
      </c>
    </row>
    <row r="688" spans="1:35" x14ac:dyDescent="0.35">
      <c r="A688" t="s">
        <v>795</v>
      </c>
      <c r="B688" t="s">
        <v>792</v>
      </c>
      <c r="C688" t="s">
        <v>63</v>
      </c>
      <c r="D688" t="s">
        <v>52</v>
      </c>
      <c r="E688" t="s">
        <v>77</v>
      </c>
      <c r="F688" t="s">
        <v>52</v>
      </c>
      <c r="G688" t="s">
        <v>35</v>
      </c>
      <c r="H688" t="s">
        <v>35</v>
      </c>
      <c r="I688" t="s">
        <v>35</v>
      </c>
      <c r="J688" t="s">
        <v>35</v>
      </c>
      <c r="K688" t="s">
        <v>37</v>
      </c>
      <c r="L688" t="s">
        <v>35</v>
      </c>
      <c r="M688" t="s">
        <v>35</v>
      </c>
      <c r="N688" t="s">
        <v>35</v>
      </c>
      <c r="O688" t="str">
        <f t="shared" si="22"/>
        <v>False</v>
      </c>
      <c r="P688" s="3">
        <v>78647.19</v>
      </c>
      <c r="Q688" s="3">
        <v>1196.0555337000001</v>
      </c>
      <c r="R688" s="3">
        <v>176.86053540000009</v>
      </c>
      <c r="S688" s="3">
        <v>2682.0835750000001</v>
      </c>
      <c r="T688" s="3">
        <v>16.89612499999992</v>
      </c>
      <c r="U688">
        <v>2.7034278020613301E-2</v>
      </c>
      <c r="V688" s="3">
        <v>-74772.056792000003</v>
      </c>
      <c r="W688">
        <v>405.90702708044819</v>
      </c>
      <c r="X688">
        <v>4.2054584000000004</v>
      </c>
      <c r="Y688">
        <v>0.46997918999999921</v>
      </c>
      <c r="Z688" s="5">
        <v>0.1005208990502211</v>
      </c>
      <c r="AA688">
        <v>5.2568230000000007</v>
      </c>
      <c r="AB688">
        <v>27.380279999999999</v>
      </c>
      <c r="AC688">
        <v>2.1261700000000019</v>
      </c>
      <c r="AD688" s="5">
        <v>7.2057804310583007E-2</v>
      </c>
      <c r="AE688">
        <v>34.225349999999999</v>
      </c>
      <c r="AF688">
        <v>2.6577125000000019</v>
      </c>
      <c r="AG688">
        <v>0.58747398750000013</v>
      </c>
      <c r="AH688" t="str">
        <f t="shared" si="21"/>
        <v>False</v>
      </c>
      <c r="AI688">
        <v>2</v>
      </c>
    </row>
    <row r="689" spans="1:35" x14ac:dyDescent="0.35">
      <c r="A689" t="s">
        <v>796</v>
      </c>
      <c r="B689" t="s">
        <v>792</v>
      </c>
      <c r="C689" t="s">
        <v>63</v>
      </c>
      <c r="D689" t="s">
        <v>52</v>
      </c>
      <c r="E689" t="s">
        <v>77</v>
      </c>
      <c r="F689" t="s">
        <v>52</v>
      </c>
      <c r="G689" t="s">
        <v>35</v>
      </c>
      <c r="H689" t="s">
        <v>37</v>
      </c>
      <c r="I689" t="s">
        <v>35</v>
      </c>
      <c r="J689" t="s">
        <v>35</v>
      </c>
      <c r="K689" t="s">
        <v>37</v>
      </c>
      <c r="L689" t="s">
        <v>35</v>
      </c>
      <c r="M689" t="s">
        <v>35</v>
      </c>
      <c r="N689" t="s">
        <v>35</v>
      </c>
      <c r="O689" t="str">
        <f t="shared" si="22"/>
        <v>True</v>
      </c>
      <c r="P689" s="3">
        <v>120813.2</v>
      </c>
      <c r="Q689" s="3">
        <v>1179.8326431</v>
      </c>
      <c r="R689" s="3">
        <v>193.083426</v>
      </c>
      <c r="S689" s="3">
        <v>2680.598375</v>
      </c>
      <c r="T689" s="3">
        <v>18.381325000000171</v>
      </c>
      <c r="U689">
        <v>1.9210400850238198E-2</v>
      </c>
      <c r="V689" s="3">
        <v>-116583.90498000001</v>
      </c>
      <c r="W689">
        <v>571.31602041798385</v>
      </c>
      <c r="X689">
        <v>4.1623744600000014</v>
      </c>
      <c r="Y689">
        <v>0.51306312999999903</v>
      </c>
      <c r="Z689" s="5">
        <v>0.10973585255364279</v>
      </c>
      <c r="AA689">
        <v>5.2029680750000011</v>
      </c>
      <c r="AB689">
        <v>27.185580000000002</v>
      </c>
      <c r="AC689">
        <v>2.3208699999999989</v>
      </c>
      <c r="AD689" s="5">
        <v>7.8656361575180994E-2</v>
      </c>
      <c r="AE689">
        <v>33.981975000000013</v>
      </c>
      <c r="AF689">
        <v>2.9010874999999992</v>
      </c>
      <c r="AG689">
        <v>0.64132891249999968</v>
      </c>
      <c r="AH689" t="str">
        <f t="shared" si="21"/>
        <v>False</v>
      </c>
      <c r="AI689">
        <v>2</v>
      </c>
    </row>
    <row r="690" spans="1:35" x14ac:dyDescent="0.35">
      <c r="A690" t="s">
        <v>797</v>
      </c>
      <c r="B690" t="s">
        <v>792</v>
      </c>
      <c r="C690" t="s">
        <v>63</v>
      </c>
      <c r="D690" t="s">
        <v>52</v>
      </c>
      <c r="E690" t="s">
        <v>77</v>
      </c>
      <c r="F690" t="s">
        <v>52</v>
      </c>
      <c r="G690" t="s">
        <v>37</v>
      </c>
      <c r="H690" t="s">
        <v>35</v>
      </c>
      <c r="I690" t="s">
        <v>35</v>
      </c>
      <c r="J690" t="s">
        <v>37</v>
      </c>
      <c r="K690" t="s">
        <v>37</v>
      </c>
      <c r="L690" t="s">
        <v>35</v>
      </c>
      <c r="M690" t="s">
        <v>35</v>
      </c>
      <c r="N690" t="s">
        <v>35</v>
      </c>
      <c r="O690" t="str">
        <f t="shared" si="22"/>
        <v>True</v>
      </c>
      <c r="P690" s="3">
        <v>365610.3</v>
      </c>
      <c r="Q690" s="3">
        <v>1166.9838156000001</v>
      </c>
      <c r="R690" s="3">
        <v>205.93225350000009</v>
      </c>
      <c r="S690" s="3">
        <v>2679.369925</v>
      </c>
      <c r="T690" s="3">
        <v>19.609774999999981</v>
      </c>
      <c r="U690">
        <v>6.7704328898829996E-3</v>
      </c>
      <c r="V690" s="3">
        <v>-361099.45942999999</v>
      </c>
      <c r="W690">
        <v>1621.0295811895651</v>
      </c>
      <c r="X690">
        <v>4.1282303300000001</v>
      </c>
      <c r="Y690">
        <v>0.54720725999999953</v>
      </c>
      <c r="Z690" s="5">
        <v>0.1170387262082991</v>
      </c>
      <c r="AA690">
        <v>5.1602879125000003</v>
      </c>
      <c r="AB690">
        <v>27.031110000000002</v>
      </c>
      <c r="AC690">
        <v>2.4753400000000032</v>
      </c>
      <c r="AD690" s="5">
        <v>8.3891488132255901E-2</v>
      </c>
      <c r="AE690">
        <v>33.788887499999987</v>
      </c>
      <c r="AF690">
        <v>3.094175000000003</v>
      </c>
      <c r="AG690">
        <v>0.68400907500000052</v>
      </c>
      <c r="AH690" t="str">
        <f t="shared" si="21"/>
        <v>True</v>
      </c>
      <c r="AI690">
        <v>2</v>
      </c>
    </row>
    <row r="691" spans="1:35" x14ac:dyDescent="0.35">
      <c r="A691" t="s">
        <v>798</v>
      </c>
      <c r="B691" t="s">
        <v>792</v>
      </c>
      <c r="C691" t="s">
        <v>63</v>
      </c>
      <c r="D691" t="s">
        <v>52</v>
      </c>
      <c r="E691" t="s">
        <v>52</v>
      </c>
      <c r="F691" t="s">
        <v>52</v>
      </c>
      <c r="G691" t="s">
        <v>35</v>
      </c>
      <c r="H691" t="s">
        <v>37</v>
      </c>
      <c r="I691" t="s">
        <v>35</v>
      </c>
      <c r="J691" t="s">
        <v>35</v>
      </c>
      <c r="K691" t="s">
        <v>35</v>
      </c>
      <c r="L691" t="s">
        <v>35</v>
      </c>
      <c r="M691" t="s">
        <v>35</v>
      </c>
      <c r="N691" t="s">
        <v>35</v>
      </c>
      <c r="O691" t="str">
        <f t="shared" si="22"/>
        <v>False</v>
      </c>
      <c r="P691" s="3">
        <v>42166.01</v>
      </c>
      <c r="Q691" s="3">
        <v>1355.6618054999999</v>
      </c>
      <c r="R691" s="3">
        <v>17.25426360000003</v>
      </c>
      <c r="S691" s="3">
        <v>2697.3996999999999</v>
      </c>
      <c r="T691" s="3">
        <v>1.580000000000177</v>
      </c>
      <c r="U691">
        <v>4.9110646229035999E-3</v>
      </c>
      <c r="V691" s="3">
        <v>-41789.324728</v>
      </c>
      <c r="W691">
        <v>2238.7926013735701</v>
      </c>
      <c r="X691">
        <v>4.6296144300000002</v>
      </c>
      <c r="Y691">
        <v>4.5823159999999398E-2</v>
      </c>
      <c r="Z691" s="5">
        <v>9.8008280760729996E-3</v>
      </c>
      <c r="AA691">
        <v>5.7870180375000011</v>
      </c>
      <c r="AB691">
        <v>29.29937</v>
      </c>
      <c r="AC691">
        <v>0.20708000000000129</v>
      </c>
      <c r="AD691" s="5">
        <v>7.0181265452130001E-3</v>
      </c>
      <c r="AE691">
        <v>36.624212499999999</v>
      </c>
      <c r="AF691">
        <v>0.25885000000000158</v>
      </c>
      <c r="AG691">
        <v>5.7278949999999697E-2</v>
      </c>
      <c r="AH691" t="str">
        <f t="shared" si="21"/>
        <v>False</v>
      </c>
      <c r="AI691">
        <v>1</v>
      </c>
    </row>
    <row r="692" spans="1:35" x14ac:dyDescent="0.35">
      <c r="A692" t="s">
        <v>799</v>
      </c>
      <c r="B692" t="s">
        <v>792</v>
      </c>
      <c r="C692" t="s">
        <v>63</v>
      </c>
      <c r="D692" t="s">
        <v>52</v>
      </c>
      <c r="E692" t="s">
        <v>77</v>
      </c>
      <c r="F692" t="s">
        <v>52</v>
      </c>
      <c r="G692" t="s">
        <v>35</v>
      </c>
      <c r="H692" t="s">
        <v>37</v>
      </c>
      <c r="I692" t="s">
        <v>35</v>
      </c>
      <c r="J692" t="s">
        <v>37</v>
      </c>
      <c r="K692" t="s">
        <v>37</v>
      </c>
      <c r="L692" t="s">
        <v>35</v>
      </c>
      <c r="M692" t="s">
        <v>35</v>
      </c>
      <c r="N692" t="s">
        <v>35</v>
      </c>
      <c r="O692" t="str">
        <f t="shared" si="22"/>
        <v>True</v>
      </c>
      <c r="P692" s="3">
        <v>390207.1</v>
      </c>
      <c r="Q692" s="3">
        <v>1248.6607569</v>
      </c>
      <c r="R692" s="3">
        <v>124.25531220000011</v>
      </c>
      <c r="S692" s="3">
        <v>2687.2916500000001</v>
      </c>
      <c r="T692" s="3">
        <v>11.688049999999921</v>
      </c>
      <c r="U692">
        <v>3.8257632933895E-3</v>
      </c>
      <c r="V692" s="3">
        <v>-387488.23275600001</v>
      </c>
      <c r="W692">
        <v>2870.365229204253</v>
      </c>
      <c r="X692">
        <v>4.3453215500000004</v>
      </c>
      <c r="Y692">
        <v>0.33011604000000011</v>
      </c>
      <c r="Z692" s="5">
        <v>7.0606447769950897E-2</v>
      </c>
      <c r="AA692">
        <v>5.4316519374999999</v>
      </c>
      <c r="AB692">
        <v>28.01361</v>
      </c>
      <c r="AC692">
        <v>1.4928400000000011</v>
      </c>
      <c r="AD692" s="5">
        <v>5.0593683753891103E-2</v>
      </c>
      <c r="AE692">
        <v>35.0170125</v>
      </c>
      <c r="AF692">
        <v>1.8660500000000011</v>
      </c>
      <c r="AG692">
        <v>0.41264505000000101</v>
      </c>
      <c r="AH692" t="str">
        <f t="shared" si="21"/>
        <v>True</v>
      </c>
      <c r="AI692">
        <v>2</v>
      </c>
    </row>
    <row r="693" spans="1:35" x14ac:dyDescent="0.35">
      <c r="A693" t="s">
        <v>800</v>
      </c>
      <c r="B693" t="s">
        <v>792</v>
      </c>
      <c r="C693" t="s">
        <v>63</v>
      </c>
      <c r="D693" t="s">
        <v>52</v>
      </c>
      <c r="E693" t="s">
        <v>77</v>
      </c>
      <c r="F693" t="s">
        <v>52</v>
      </c>
      <c r="G693" t="s">
        <v>35</v>
      </c>
      <c r="H693" t="s">
        <v>35</v>
      </c>
      <c r="I693" t="s">
        <v>35</v>
      </c>
      <c r="J693" t="s">
        <v>37</v>
      </c>
      <c r="K693" t="s">
        <v>37</v>
      </c>
      <c r="L693" t="s">
        <v>35</v>
      </c>
      <c r="M693" t="s">
        <v>35</v>
      </c>
      <c r="N693" t="s">
        <v>35</v>
      </c>
      <c r="O693" t="str">
        <f t="shared" si="22"/>
        <v>True</v>
      </c>
      <c r="P693" s="3">
        <v>348041.1</v>
      </c>
      <c r="Q693" s="3">
        <v>1263.1077792000001</v>
      </c>
      <c r="R693" s="3">
        <v>109.80828990000001</v>
      </c>
      <c r="S693" s="3">
        <v>2688.5971249999998</v>
      </c>
      <c r="T693" s="3">
        <v>10.382575000000219</v>
      </c>
      <c r="U693">
        <v>3.7913338395953E-3</v>
      </c>
      <c r="V693" s="3">
        <v>-345637.282702</v>
      </c>
      <c r="W693">
        <v>2895.7367125161541</v>
      </c>
      <c r="X693">
        <v>4.3836823699999998</v>
      </c>
      <c r="Y693">
        <v>0.29175521999999982</v>
      </c>
      <c r="Z693" s="5">
        <v>6.24016927579178E-2</v>
      </c>
      <c r="AA693">
        <v>5.4796029624999996</v>
      </c>
      <c r="AB693">
        <v>28.186910000000001</v>
      </c>
      <c r="AC693">
        <v>1.319540000000003</v>
      </c>
      <c r="AD693" s="5">
        <v>4.4720391643183199E-2</v>
      </c>
      <c r="AE693">
        <v>35.233637499999993</v>
      </c>
      <c r="AF693">
        <v>1.649425000000005</v>
      </c>
      <c r="AG693">
        <v>0.36469402500000131</v>
      </c>
      <c r="AH693" t="str">
        <f t="shared" si="21"/>
        <v>True</v>
      </c>
      <c r="AI693">
        <v>2</v>
      </c>
    </row>
    <row r="694" spans="1:35" x14ac:dyDescent="0.35">
      <c r="A694" t="s">
        <v>801</v>
      </c>
      <c r="B694" t="s">
        <v>792</v>
      </c>
      <c r="C694" t="s">
        <v>63</v>
      </c>
      <c r="D694" t="s">
        <v>52</v>
      </c>
      <c r="E694" t="s">
        <v>52</v>
      </c>
      <c r="F694" t="s">
        <v>52</v>
      </c>
      <c r="G694" t="s">
        <v>37</v>
      </c>
      <c r="H694" t="s">
        <v>35</v>
      </c>
      <c r="I694" t="s">
        <v>35</v>
      </c>
      <c r="J694" t="s">
        <v>37</v>
      </c>
      <c r="K694" t="s">
        <v>35</v>
      </c>
      <c r="L694" t="s">
        <v>35</v>
      </c>
      <c r="M694" t="s">
        <v>35</v>
      </c>
      <c r="N694" t="s">
        <v>35</v>
      </c>
      <c r="O694" t="str">
        <f t="shared" si="22"/>
        <v>True</v>
      </c>
      <c r="P694" s="3">
        <v>286963.09999999998</v>
      </c>
      <c r="Q694" s="3">
        <v>1362.1568553</v>
      </c>
      <c r="R694" s="3">
        <v>10.759213800000049</v>
      </c>
      <c r="S694" s="3">
        <v>2698.017875</v>
      </c>
      <c r="T694" s="3">
        <v>0.96182500000007398</v>
      </c>
      <c r="U694">
        <v>4.4956999697869999E-4</v>
      </c>
      <c r="V694" s="3">
        <v>-286728.67922400002</v>
      </c>
      <c r="W694">
        <v>24482.736120624129</v>
      </c>
      <c r="X694">
        <v>4.6468730799999998</v>
      </c>
      <c r="Y694">
        <v>2.85645099999998E-2</v>
      </c>
      <c r="Z694" s="5">
        <v>6.1094837542253998E-3</v>
      </c>
      <c r="AA694">
        <v>5.8085913499999986</v>
      </c>
      <c r="AB694">
        <v>29.37744</v>
      </c>
      <c r="AC694">
        <v>0.12901000000000101</v>
      </c>
      <c r="AD694" s="5">
        <v>4.3722643693158E-3</v>
      </c>
      <c r="AE694">
        <v>36.721800000000002</v>
      </c>
      <c r="AF694">
        <v>0.1612625000000012</v>
      </c>
      <c r="AG694">
        <v>3.5705637500001303E-2</v>
      </c>
      <c r="AH694" t="str">
        <f t="shared" si="21"/>
        <v>True</v>
      </c>
      <c r="AI694">
        <v>2</v>
      </c>
    </row>
    <row r="695" spans="1:35" x14ac:dyDescent="0.35">
      <c r="A695" t="s">
        <v>802</v>
      </c>
      <c r="B695" t="s">
        <v>803</v>
      </c>
      <c r="C695" t="s">
        <v>33</v>
      </c>
      <c r="D695" t="s">
        <v>281</v>
      </c>
      <c r="E695" t="s">
        <v>39</v>
      </c>
      <c r="F695" t="s">
        <v>281</v>
      </c>
      <c r="G695" t="s">
        <v>35</v>
      </c>
      <c r="H695" t="s">
        <v>35</v>
      </c>
      <c r="I695" t="s">
        <v>35</v>
      </c>
      <c r="J695" t="s">
        <v>35</v>
      </c>
      <c r="K695" t="s">
        <v>35</v>
      </c>
      <c r="L695" t="s">
        <v>35</v>
      </c>
      <c r="M695" t="s">
        <v>35</v>
      </c>
      <c r="N695" t="s">
        <v>35</v>
      </c>
      <c r="O695" t="str">
        <f t="shared" si="22"/>
        <v>False</v>
      </c>
      <c r="P695" s="3">
        <v>0</v>
      </c>
      <c r="Q695" s="3">
        <v>0</v>
      </c>
      <c r="R695" s="3">
        <v>0</v>
      </c>
      <c r="S695" s="3">
        <v>6110.5217490000005</v>
      </c>
      <c r="T695" s="3">
        <v>0</v>
      </c>
      <c r="U695">
        <v>0</v>
      </c>
      <c r="V695" s="3">
        <v>0</v>
      </c>
      <c r="W695">
        <v>0</v>
      </c>
      <c r="X695">
        <v>2.0394221300000002</v>
      </c>
      <c r="Y695">
        <v>0</v>
      </c>
      <c r="Z695" s="5">
        <v>0</v>
      </c>
      <c r="AA695">
        <v>14.06498020689655</v>
      </c>
      <c r="AB695">
        <v>25.815470000000001</v>
      </c>
      <c r="AC695">
        <v>0</v>
      </c>
      <c r="AD695" s="5">
        <v>0</v>
      </c>
      <c r="AE695">
        <v>178.03772413793101</v>
      </c>
      <c r="AF695">
        <v>0</v>
      </c>
      <c r="AG695">
        <v>-3.5527136788005009E-15</v>
      </c>
      <c r="AH695" t="str">
        <f t="shared" si="21"/>
        <v>False</v>
      </c>
      <c r="AI695">
        <v>0</v>
      </c>
    </row>
    <row r="696" spans="1:35" x14ac:dyDescent="0.35">
      <c r="A696" t="s">
        <v>804</v>
      </c>
      <c r="B696" t="s">
        <v>803</v>
      </c>
      <c r="C696" t="s">
        <v>33</v>
      </c>
      <c r="D696" t="s">
        <v>283</v>
      </c>
      <c r="E696" t="s">
        <v>39</v>
      </c>
      <c r="F696" t="s">
        <v>283</v>
      </c>
      <c r="G696" t="s">
        <v>37</v>
      </c>
      <c r="H696" t="s">
        <v>35</v>
      </c>
      <c r="I696" t="s">
        <v>35</v>
      </c>
      <c r="J696" t="s">
        <v>35</v>
      </c>
      <c r="K696" t="s">
        <v>35</v>
      </c>
      <c r="L696" t="s">
        <v>35</v>
      </c>
      <c r="M696" t="s">
        <v>35</v>
      </c>
      <c r="N696" t="s">
        <v>35</v>
      </c>
      <c r="O696" t="str">
        <f t="shared" si="22"/>
        <v>False</v>
      </c>
      <c r="P696" s="3">
        <v>15402.11</v>
      </c>
      <c r="Q696" s="3">
        <v>0</v>
      </c>
      <c r="R696" s="3">
        <v>0</v>
      </c>
      <c r="S696" s="3">
        <v>4906.7152559999986</v>
      </c>
      <c r="T696" s="3">
        <v>1203.806493000001</v>
      </c>
      <c r="U696">
        <v>0.33020086208967492</v>
      </c>
      <c r="V696" s="3">
        <v>8674.0198600000149</v>
      </c>
      <c r="W696">
        <v>12.794506500472909</v>
      </c>
      <c r="X696">
        <v>1.6376447199999999</v>
      </c>
      <c r="Y696">
        <v>0.40177741000000022</v>
      </c>
      <c r="Z696" s="5">
        <v>0.19700551645970429</v>
      </c>
      <c r="AA696">
        <v>11.29410151724138</v>
      </c>
      <c r="AB696">
        <v>20.729679999999998</v>
      </c>
      <c r="AC696">
        <v>5.0857900000000029</v>
      </c>
      <c r="AD696" s="5">
        <v>0.19700551645970429</v>
      </c>
      <c r="AE696">
        <v>142.96331034482759</v>
      </c>
      <c r="AF696">
        <v>35.074413793103467</v>
      </c>
      <c r="AG696">
        <v>2.77087868965517</v>
      </c>
      <c r="AH696" t="str">
        <f t="shared" si="21"/>
        <v>True</v>
      </c>
      <c r="AI696">
        <v>1</v>
      </c>
    </row>
    <row r="697" spans="1:35" x14ac:dyDescent="0.35">
      <c r="A697" t="s">
        <v>805</v>
      </c>
      <c r="B697" t="s">
        <v>803</v>
      </c>
      <c r="C697" t="s">
        <v>33</v>
      </c>
      <c r="D697" t="s">
        <v>283</v>
      </c>
      <c r="E697" t="s">
        <v>52</v>
      </c>
      <c r="F697" t="s">
        <v>283</v>
      </c>
      <c r="G697" t="s">
        <v>37</v>
      </c>
      <c r="H697" t="s">
        <v>35</v>
      </c>
      <c r="I697" t="s">
        <v>35</v>
      </c>
      <c r="J697" t="s">
        <v>35</v>
      </c>
      <c r="K697" t="s">
        <v>35</v>
      </c>
      <c r="L697" t="s">
        <v>35</v>
      </c>
      <c r="M697" t="s">
        <v>37</v>
      </c>
      <c r="N697" t="s">
        <v>35</v>
      </c>
      <c r="O697" t="str">
        <f t="shared" si="22"/>
        <v>True</v>
      </c>
      <c r="P697" s="3">
        <v>28655.73</v>
      </c>
      <c r="Q697" s="3">
        <v>0</v>
      </c>
      <c r="R697" s="3">
        <v>0</v>
      </c>
      <c r="S697" s="3">
        <v>4118.3527679999997</v>
      </c>
      <c r="T697" s="3">
        <v>1992.168981</v>
      </c>
      <c r="U697">
        <v>0.29370844853716882</v>
      </c>
      <c r="V697" s="3">
        <v>11187.649620000009</v>
      </c>
      <c r="W697">
        <v>14.384186418571691</v>
      </c>
      <c r="X697">
        <v>1.37452416</v>
      </c>
      <c r="Y697">
        <v>0.66489797000000017</v>
      </c>
      <c r="Z697" s="5">
        <v>0.3260227297817937</v>
      </c>
      <c r="AA697">
        <v>9.4794769655172395</v>
      </c>
      <c r="AB697">
        <v>17.399039999999999</v>
      </c>
      <c r="AC697">
        <v>8.4164300000000019</v>
      </c>
      <c r="AD697" s="5">
        <v>0.3260227297817937</v>
      </c>
      <c r="AE697">
        <v>119.99337931034481</v>
      </c>
      <c r="AF697">
        <v>58.044344827586222</v>
      </c>
      <c r="AG697">
        <v>4.5855032413793086</v>
      </c>
      <c r="AH697" t="str">
        <f t="shared" si="21"/>
        <v>True</v>
      </c>
      <c r="AI697">
        <v>1</v>
      </c>
    </row>
    <row r="698" spans="1:35" x14ac:dyDescent="0.35">
      <c r="A698" t="s">
        <v>806</v>
      </c>
      <c r="B698" t="s">
        <v>803</v>
      </c>
      <c r="C698" t="s">
        <v>33</v>
      </c>
      <c r="D698" t="s">
        <v>283</v>
      </c>
      <c r="E698" t="s">
        <v>39</v>
      </c>
      <c r="F698" t="s">
        <v>283</v>
      </c>
      <c r="G698" t="s">
        <v>35</v>
      </c>
      <c r="H698" t="s">
        <v>35</v>
      </c>
      <c r="I698" t="s">
        <v>35</v>
      </c>
      <c r="J698" t="s">
        <v>35</v>
      </c>
      <c r="K698" t="s">
        <v>35</v>
      </c>
      <c r="L698" t="s">
        <v>35</v>
      </c>
      <c r="M698" t="s">
        <v>37</v>
      </c>
      <c r="N698" t="s">
        <v>35</v>
      </c>
      <c r="O698" t="str">
        <f t="shared" si="22"/>
        <v>False</v>
      </c>
      <c r="P698" s="3">
        <v>13253.62</v>
      </c>
      <c r="Q698" s="3">
        <v>0</v>
      </c>
      <c r="R698" s="3">
        <v>0</v>
      </c>
      <c r="S698" s="3">
        <v>5233.3683569999994</v>
      </c>
      <c r="T698" s="3">
        <v>877.15339200000028</v>
      </c>
      <c r="U698">
        <v>0.27960361018348201</v>
      </c>
      <c r="V698" s="3">
        <v>4289.4478400000062</v>
      </c>
      <c r="W698">
        <v>15.10980875281161</v>
      </c>
      <c r="X698">
        <v>1.7466670900000001</v>
      </c>
      <c r="Y698">
        <v>0.29275504000000008</v>
      </c>
      <c r="Z698" s="5">
        <v>0.1435480353446984</v>
      </c>
      <c r="AA698">
        <v>12.045979931034481</v>
      </c>
      <c r="AB698">
        <v>22.10971</v>
      </c>
      <c r="AC698">
        <v>3.7057600000000011</v>
      </c>
      <c r="AD698" s="5">
        <v>0.1435480353446984</v>
      </c>
      <c r="AE698">
        <v>152.48075862068961</v>
      </c>
      <c r="AF698">
        <v>25.556965517241391</v>
      </c>
      <c r="AG698">
        <v>2.0190002758620662</v>
      </c>
      <c r="AH698" t="str">
        <f t="shared" si="21"/>
        <v>False</v>
      </c>
      <c r="AI698">
        <v>0</v>
      </c>
    </row>
    <row r="699" spans="1:35" x14ac:dyDescent="0.35">
      <c r="A699" t="s">
        <v>807</v>
      </c>
      <c r="B699" t="s">
        <v>803</v>
      </c>
      <c r="C699" t="s">
        <v>33</v>
      </c>
      <c r="D699" t="s">
        <v>283</v>
      </c>
      <c r="E699" t="s">
        <v>39</v>
      </c>
      <c r="F699" t="s">
        <v>283</v>
      </c>
      <c r="G699" t="s">
        <v>37</v>
      </c>
      <c r="H699" t="s">
        <v>35</v>
      </c>
      <c r="I699" t="s">
        <v>35</v>
      </c>
      <c r="J699" t="s">
        <v>35</v>
      </c>
      <c r="K699" t="s">
        <v>37</v>
      </c>
      <c r="L699" t="s">
        <v>35</v>
      </c>
      <c r="M699" t="s">
        <v>35</v>
      </c>
      <c r="N699" t="s">
        <v>35</v>
      </c>
      <c r="O699" t="str">
        <f t="shared" si="22"/>
        <v>True</v>
      </c>
      <c r="P699" s="3">
        <v>24093.01</v>
      </c>
      <c r="Q699" s="3">
        <v>0</v>
      </c>
      <c r="R699" s="3">
        <v>0</v>
      </c>
      <c r="S699" s="3">
        <v>4579.7899500000003</v>
      </c>
      <c r="T699" s="3">
        <v>1530.7317989999999</v>
      </c>
      <c r="U699">
        <v>0.26841685617529731</v>
      </c>
      <c r="V699" s="3">
        <v>6521.6259800000007</v>
      </c>
      <c r="W699">
        <v>15.739537138863611</v>
      </c>
      <c r="X699">
        <v>1.5285314999999999</v>
      </c>
      <c r="Y699">
        <v>0.51089063000000001</v>
      </c>
      <c r="Z699" s="5">
        <v>0.25050754450722762</v>
      </c>
      <c r="AA699">
        <v>10.54159655172414</v>
      </c>
      <c r="AB699">
        <v>19.348500000000001</v>
      </c>
      <c r="AC699">
        <v>6.4669699999999999</v>
      </c>
      <c r="AD699" s="5">
        <v>0.25050754450722762</v>
      </c>
      <c r="AE699">
        <v>133.43793103448269</v>
      </c>
      <c r="AF699">
        <v>44.599793103448278</v>
      </c>
      <c r="AG699">
        <v>3.5233836551724109</v>
      </c>
      <c r="AH699" t="str">
        <f t="shared" si="21"/>
        <v>True</v>
      </c>
      <c r="AI699">
        <v>1</v>
      </c>
    </row>
    <row r="700" spans="1:35" x14ac:dyDescent="0.35">
      <c r="A700" t="s">
        <v>808</v>
      </c>
      <c r="B700" t="s">
        <v>803</v>
      </c>
      <c r="C700" t="s">
        <v>33</v>
      </c>
      <c r="D700" t="s">
        <v>34</v>
      </c>
      <c r="E700" t="s">
        <v>52</v>
      </c>
      <c r="F700" t="s">
        <v>34</v>
      </c>
      <c r="G700" t="s">
        <v>37</v>
      </c>
      <c r="H700" t="s">
        <v>35</v>
      </c>
      <c r="I700" t="s">
        <v>35</v>
      </c>
      <c r="J700" t="s">
        <v>35</v>
      </c>
      <c r="K700" t="s">
        <v>37</v>
      </c>
      <c r="L700" t="s">
        <v>35</v>
      </c>
      <c r="M700" t="s">
        <v>37</v>
      </c>
      <c r="N700" t="s">
        <v>35</v>
      </c>
      <c r="O700" t="str">
        <f t="shared" si="22"/>
        <v>True</v>
      </c>
      <c r="P700" s="3">
        <v>37346.639999999999</v>
      </c>
      <c r="Q700" s="3">
        <v>0</v>
      </c>
      <c r="R700" s="3">
        <v>0</v>
      </c>
      <c r="S700" s="3">
        <v>3829.3373339999998</v>
      </c>
      <c r="T700" s="3">
        <v>2281.1844150000002</v>
      </c>
      <c r="U700">
        <v>0.258054004322745</v>
      </c>
      <c r="V700" s="3">
        <v>8277.0483000000022</v>
      </c>
      <c r="W700">
        <v>16.371600539801161</v>
      </c>
      <c r="X700">
        <v>1.27806358</v>
      </c>
      <c r="Y700">
        <v>0.76135855000000019</v>
      </c>
      <c r="Z700" s="5">
        <v>0.37332072590582321</v>
      </c>
      <c r="AA700">
        <v>8.8142315862068958</v>
      </c>
      <c r="AB700">
        <v>16.17802</v>
      </c>
      <c r="AC700">
        <v>9.6374499999999994</v>
      </c>
      <c r="AD700" s="5">
        <v>0.37332072590582321</v>
      </c>
      <c r="AE700">
        <v>111.5725517241379</v>
      </c>
      <c r="AF700">
        <v>66.465172413793113</v>
      </c>
      <c r="AG700">
        <v>5.2507486206896541</v>
      </c>
      <c r="AH700" t="str">
        <f t="shared" si="21"/>
        <v>True</v>
      </c>
      <c r="AI700">
        <v>1</v>
      </c>
    </row>
    <row r="701" spans="1:35" x14ac:dyDescent="0.35">
      <c r="A701" t="s">
        <v>809</v>
      </c>
      <c r="B701" t="s">
        <v>803</v>
      </c>
      <c r="C701" t="s">
        <v>33</v>
      </c>
      <c r="D701" t="s">
        <v>283</v>
      </c>
      <c r="E701" t="s">
        <v>39</v>
      </c>
      <c r="F701" t="s">
        <v>283</v>
      </c>
      <c r="G701" t="s">
        <v>35</v>
      </c>
      <c r="H701" t="s">
        <v>35</v>
      </c>
      <c r="I701" t="s">
        <v>35</v>
      </c>
      <c r="J701" t="s">
        <v>35</v>
      </c>
      <c r="K701" t="s">
        <v>37</v>
      </c>
      <c r="L701" t="s">
        <v>35</v>
      </c>
      <c r="M701" t="s">
        <v>37</v>
      </c>
      <c r="N701" t="s">
        <v>35</v>
      </c>
      <c r="O701" t="str">
        <f t="shared" si="22"/>
        <v>True</v>
      </c>
      <c r="P701" s="3">
        <v>21944.53</v>
      </c>
      <c r="Q701" s="3">
        <v>0</v>
      </c>
      <c r="R701" s="3">
        <v>0</v>
      </c>
      <c r="S701" s="3">
        <v>4918.8532319999986</v>
      </c>
      <c r="T701" s="3">
        <v>1191.6685170000001</v>
      </c>
      <c r="U701">
        <v>0.22941981441388809</v>
      </c>
      <c r="V701" s="3">
        <v>1888.840340000002</v>
      </c>
      <c r="W701">
        <v>18.414961616377081</v>
      </c>
      <c r="X701">
        <v>1.6416958399999999</v>
      </c>
      <c r="Y701">
        <v>0.39772628999999998</v>
      </c>
      <c r="Z701" s="5">
        <v>0.19501911063405011</v>
      </c>
      <c r="AA701">
        <v>11.32204027586207</v>
      </c>
      <c r="AB701">
        <v>20.78096</v>
      </c>
      <c r="AC701">
        <v>5.0345100000000009</v>
      </c>
      <c r="AD701" s="5">
        <v>0.19501911063405011</v>
      </c>
      <c r="AE701">
        <v>143.31696551724141</v>
      </c>
      <c r="AF701">
        <v>34.720758620689672</v>
      </c>
      <c r="AG701">
        <v>2.74293993103448</v>
      </c>
      <c r="AH701" t="str">
        <f t="shared" si="21"/>
        <v>False</v>
      </c>
      <c r="AI701">
        <v>1</v>
      </c>
    </row>
    <row r="702" spans="1:35" x14ac:dyDescent="0.35">
      <c r="A702" t="s">
        <v>810</v>
      </c>
      <c r="B702" t="s">
        <v>803</v>
      </c>
      <c r="C702" t="s">
        <v>33</v>
      </c>
      <c r="D702" t="s">
        <v>34</v>
      </c>
      <c r="E702" t="s">
        <v>52</v>
      </c>
      <c r="F702" t="s">
        <v>34</v>
      </c>
      <c r="G702" t="s">
        <v>37</v>
      </c>
      <c r="H702" t="s">
        <v>35</v>
      </c>
      <c r="I702" t="s">
        <v>35</v>
      </c>
      <c r="J702" t="s">
        <v>35</v>
      </c>
      <c r="K702" t="s">
        <v>35</v>
      </c>
      <c r="L702" t="s">
        <v>37</v>
      </c>
      <c r="M702" t="s">
        <v>37</v>
      </c>
      <c r="N702" t="s">
        <v>35</v>
      </c>
      <c r="O702" t="str">
        <f t="shared" si="22"/>
        <v>True</v>
      </c>
      <c r="P702" s="3">
        <v>51740.94</v>
      </c>
      <c r="Q702" s="3">
        <v>0</v>
      </c>
      <c r="R702" s="3">
        <v>0</v>
      </c>
      <c r="S702" s="3">
        <v>3540.1017689999999</v>
      </c>
      <c r="T702" s="3">
        <v>2570.4199800000001</v>
      </c>
      <c r="U702">
        <v>0.20988022250852029</v>
      </c>
      <c r="V702" s="3">
        <v>-332.54039999999799</v>
      </c>
      <c r="W702">
        <v>20.12937201025025</v>
      </c>
      <c r="X702">
        <v>1.1815295299999999</v>
      </c>
      <c r="Y702">
        <v>0.85789260000000023</v>
      </c>
      <c r="Z702" s="5">
        <v>0.42065474694049743</v>
      </c>
      <c r="AA702">
        <v>8.1484795172413786</v>
      </c>
      <c r="AB702">
        <v>14.95607</v>
      </c>
      <c r="AC702">
        <v>10.859400000000001</v>
      </c>
      <c r="AD702" s="5">
        <v>0.42065474694049731</v>
      </c>
      <c r="AE702">
        <v>103.14531034482761</v>
      </c>
      <c r="AF702">
        <v>74.892413793103458</v>
      </c>
      <c r="AG702">
        <v>5.9165006896551713</v>
      </c>
      <c r="AH702" t="str">
        <f t="shared" si="21"/>
        <v>True</v>
      </c>
      <c r="AI702">
        <v>1</v>
      </c>
    </row>
    <row r="703" spans="1:35" x14ac:dyDescent="0.35">
      <c r="A703" t="s">
        <v>811</v>
      </c>
      <c r="B703" t="s">
        <v>803</v>
      </c>
      <c r="C703" t="s">
        <v>33</v>
      </c>
      <c r="D703" t="s">
        <v>283</v>
      </c>
      <c r="E703" t="s">
        <v>52</v>
      </c>
      <c r="F703" t="s">
        <v>283</v>
      </c>
      <c r="G703" t="s">
        <v>37</v>
      </c>
      <c r="H703" t="s">
        <v>35</v>
      </c>
      <c r="I703" t="s">
        <v>35</v>
      </c>
      <c r="J703" t="s">
        <v>35</v>
      </c>
      <c r="K703" t="s">
        <v>35</v>
      </c>
      <c r="L703" t="s">
        <v>37</v>
      </c>
      <c r="M703" t="s">
        <v>35</v>
      </c>
      <c r="N703" t="s">
        <v>35</v>
      </c>
      <c r="O703" t="str">
        <f t="shared" si="22"/>
        <v>True</v>
      </c>
      <c r="P703" s="3">
        <v>38487.32</v>
      </c>
      <c r="Q703" s="3">
        <v>0</v>
      </c>
      <c r="R703" s="3">
        <v>0</v>
      </c>
      <c r="S703" s="3">
        <v>4268.9910149999996</v>
      </c>
      <c r="T703" s="3">
        <v>1841.5307339999999</v>
      </c>
      <c r="U703">
        <v>0.20214501815143279</v>
      </c>
      <c r="V703" s="3">
        <v>-1656.7053200000009</v>
      </c>
      <c r="W703">
        <v>20.89963490123321</v>
      </c>
      <c r="X703">
        <v>1.4248005500000001</v>
      </c>
      <c r="Y703">
        <v>0.61462158000000011</v>
      </c>
      <c r="Z703" s="5">
        <v>0.30137045732655648</v>
      </c>
      <c r="AA703">
        <v>9.8262106896551735</v>
      </c>
      <c r="AB703">
        <v>18.035450000000001</v>
      </c>
      <c r="AC703">
        <v>7.7800200000000004</v>
      </c>
      <c r="AD703" s="5">
        <v>0.30137045732655648</v>
      </c>
      <c r="AE703">
        <v>124.3824137931035</v>
      </c>
      <c r="AF703">
        <v>53.655310344827591</v>
      </c>
      <c r="AG703">
        <v>4.2387695172413764</v>
      </c>
      <c r="AH703" t="str">
        <f t="shared" si="21"/>
        <v>True</v>
      </c>
      <c r="AI703">
        <v>1</v>
      </c>
    </row>
    <row r="704" spans="1:35" x14ac:dyDescent="0.35">
      <c r="A704" t="s">
        <v>812</v>
      </c>
      <c r="B704" t="s">
        <v>803</v>
      </c>
      <c r="C704" t="s">
        <v>33</v>
      </c>
      <c r="D704" t="s">
        <v>34</v>
      </c>
      <c r="E704" t="s">
        <v>52</v>
      </c>
      <c r="F704" t="s">
        <v>34</v>
      </c>
      <c r="G704" t="s">
        <v>37</v>
      </c>
      <c r="H704" t="s">
        <v>35</v>
      </c>
      <c r="I704" t="s">
        <v>35</v>
      </c>
      <c r="J704" t="s">
        <v>35</v>
      </c>
      <c r="K704" t="s">
        <v>37</v>
      </c>
      <c r="L704" t="s">
        <v>37</v>
      </c>
      <c r="M704" t="s">
        <v>37</v>
      </c>
      <c r="N704" t="s">
        <v>35</v>
      </c>
      <c r="O704" t="str">
        <f t="shared" si="22"/>
        <v>True</v>
      </c>
      <c r="P704" s="3">
        <v>60431.839999999997</v>
      </c>
      <c r="Q704" s="3">
        <v>0</v>
      </c>
      <c r="R704" s="3">
        <v>0</v>
      </c>
      <c r="S704" s="3">
        <v>3276.3635279999999</v>
      </c>
      <c r="T704" s="3">
        <v>2834.1582210000001</v>
      </c>
      <c r="U704">
        <v>0.19813446024479819</v>
      </c>
      <c r="V704" s="3">
        <v>-3748.675579999996</v>
      </c>
      <c r="W704">
        <v>21.322676889463612</v>
      </c>
      <c r="X704">
        <v>1.09350536</v>
      </c>
      <c r="Y704">
        <v>0.94591677000000018</v>
      </c>
      <c r="Z704" s="5">
        <v>0.46381607617448001</v>
      </c>
      <c r="AA704">
        <v>7.5414162758620682</v>
      </c>
      <c r="AB704">
        <v>13.841839999999999</v>
      </c>
      <c r="AC704">
        <v>11.97363</v>
      </c>
      <c r="AD704" s="5">
        <v>0.4638160761744799</v>
      </c>
      <c r="AE704">
        <v>95.460965517241377</v>
      </c>
      <c r="AF704">
        <v>82.57675862068966</v>
      </c>
      <c r="AG704">
        <v>6.5235639310344817</v>
      </c>
      <c r="AH704" t="str">
        <f t="shared" si="21"/>
        <v>True</v>
      </c>
      <c r="AI704">
        <v>1</v>
      </c>
    </row>
    <row r="705" spans="1:35" x14ac:dyDescent="0.35">
      <c r="A705" t="s">
        <v>813</v>
      </c>
      <c r="B705" t="s">
        <v>803</v>
      </c>
      <c r="C705" t="s">
        <v>33</v>
      </c>
      <c r="D705" t="s">
        <v>34</v>
      </c>
      <c r="E705" t="s">
        <v>52</v>
      </c>
      <c r="F705" t="s">
        <v>34</v>
      </c>
      <c r="G705" t="s">
        <v>37</v>
      </c>
      <c r="H705" t="s">
        <v>35</v>
      </c>
      <c r="I705" t="s">
        <v>35</v>
      </c>
      <c r="J705" t="s">
        <v>35</v>
      </c>
      <c r="K705" t="s">
        <v>37</v>
      </c>
      <c r="L705" t="s">
        <v>37</v>
      </c>
      <c r="M705" t="s">
        <v>35</v>
      </c>
      <c r="N705" t="s">
        <v>35</v>
      </c>
      <c r="O705" t="str">
        <f t="shared" si="22"/>
        <v>True</v>
      </c>
      <c r="P705" s="3">
        <v>47178.22</v>
      </c>
      <c r="Q705" s="3">
        <v>0</v>
      </c>
      <c r="R705" s="3">
        <v>0</v>
      </c>
      <c r="S705" s="3">
        <v>3950.3289060000002</v>
      </c>
      <c r="T705" s="3">
        <v>2160.1928429999998</v>
      </c>
      <c r="U705">
        <v>0.1934428641012739</v>
      </c>
      <c r="V705" s="3">
        <v>-3974.363139999994</v>
      </c>
      <c r="W705">
        <v>21.83981867770682</v>
      </c>
      <c r="X705">
        <v>1.3184452200000001</v>
      </c>
      <c r="Y705">
        <v>0.72097691000000008</v>
      </c>
      <c r="Z705" s="5">
        <v>0.353520195448698</v>
      </c>
      <c r="AA705">
        <v>9.0927256551724138</v>
      </c>
      <c r="AB705">
        <v>16.68918</v>
      </c>
      <c r="AC705">
        <v>9.1262899999999991</v>
      </c>
      <c r="AD705" s="5">
        <v>0.353520195448698</v>
      </c>
      <c r="AE705">
        <v>115.0977931034483</v>
      </c>
      <c r="AF705">
        <v>62.939931034482761</v>
      </c>
      <c r="AG705">
        <v>4.9722545517241361</v>
      </c>
      <c r="AH705" t="str">
        <f t="shared" si="21"/>
        <v>True</v>
      </c>
      <c r="AI705">
        <v>1</v>
      </c>
    </row>
    <row r="706" spans="1:35" x14ac:dyDescent="0.35">
      <c r="A706" t="s">
        <v>814</v>
      </c>
      <c r="B706" t="s">
        <v>803</v>
      </c>
      <c r="C706" t="s">
        <v>33</v>
      </c>
      <c r="D706" t="s">
        <v>34</v>
      </c>
      <c r="E706" t="s">
        <v>52</v>
      </c>
      <c r="F706" t="s">
        <v>34</v>
      </c>
      <c r="G706" t="s">
        <v>35</v>
      </c>
      <c r="H706" t="s">
        <v>37</v>
      </c>
      <c r="I706" t="s">
        <v>35</v>
      </c>
      <c r="J706" t="s">
        <v>35</v>
      </c>
      <c r="K706" t="s">
        <v>35</v>
      </c>
      <c r="L706" t="s">
        <v>35</v>
      </c>
      <c r="M706" t="s">
        <v>37</v>
      </c>
      <c r="N706" t="s">
        <v>35</v>
      </c>
      <c r="O706" t="str">
        <f t="shared" si="22"/>
        <v>True</v>
      </c>
      <c r="P706" s="3">
        <v>50218.69</v>
      </c>
      <c r="Q706" s="3">
        <v>0</v>
      </c>
      <c r="R706" s="3">
        <v>0</v>
      </c>
      <c r="S706" s="3">
        <v>3839.7024270000002</v>
      </c>
      <c r="T706" s="3">
        <v>2270.8193219999998</v>
      </c>
      <c r="U706">
        <v>0.19103763957203981</v>
      </c>
      <c r="V706" s="3">
        <v>-4802.3035600000076</v>
      </c>
      <c r="W706">
        <v>22.11478892815234</v>
      </c>
      <c r="X706">
        <v>1.28152299</v>
      </c>
      <c r="Y706">
        <v>0.75789914000000014</v>
      </c>
      <c r="Z706" s="5">
        <v>0.37162445618847928</v>
      </c>
      <c r="AA706">
        <v>8.8380895862068964</v>
      </c>
      <c r="AB706">
        <v>16.221810000000001</v>
      </c>
      <c r="AC706">
        <v>9.5936599999999999</v>
      </c>
      <c r="AD706" s="5">
        <v>0.37162445618847922</v>
      </c>
      <c r="AE706">
        <v>111.8745517241379</v>
      </c>
      <c r="AF706">
        <v>66.163172413793106</v>
      </c>
      <c r="AG706">
        <v>5.2268906206896526</v>
      </c>
      <c r="AH706" t="str">
        <f t="shared" si="21"/>
        <v>False</v>
      </c>
      <c r="AI706">
        <v>1</v>
      </c>
    </row>
    <row r="707" spans="1:35" x14ac:dyDescent="0.35">
      <c r="A707" t="s">
        <v>815</v>
      </c>
      <c r="B707" t="s">
        <v>803</v>
      </c>
      <c r="C707" t="s">
        <v>33</v>
      </c>
      <c r="D707" t="s">
        <v>34</v>
      </c>
      <c r="E707" t="s">
        <v>52</v>
      </c>
      <c r="F707" t="s">
        <v>34</v>
      </c>
      <c r="G707" t="s">
        <v>35</v>
      </c>
      <c r="H707" t="s">
        <v>37</v>
      </c>
      <c r="I707" t="s">
        <v>35</v>
      </c>
      <c r="J707" t="s">
        <v>35</v>
      </c>
      <c r="K707" t="s">
        <v>37</v>
      </c>
      <c r="L707" t="s">
        <v>35</v>
      </c>
      <c r="M707" t="s">
        <v>37</v>
      </c>
      <c r="N707" t="s">
        <v>35</v>
      </c>
      <c r="O707" t="str">
        <f t="shared" si="22"/>
        <v>True</v>
      </c>
      <c r="P707" s="3">
        <v>58909.59</v>
      </c>
      <c r="Q707" s="3">
        <v>0</v>
      </c>
      <c r="R707" s="3">
        <v>0</v>
      </c>
      <c r="S707" s="3">
        <v>3576.350007</v>
      </c>
      <c r="T707" s="3">
        <v>2534.171742</v>
      </c>
      <c r="U707">
        <v>0.18174052815509331</v>
      </c>
      <c r="V707" s="3">
        <v>-8226.1551599999875</v>
      </c>
      <c r="W707">
        <v>23.24609221374547</v>
      </c>
      <c r="X707">
        <v>1.19362759</v>
      </c>
      <c r="Y707">
        <v>0.84579454000000021</v>
      </c>
      <c r="Z707" s="5">
        <v>0.41472264498767608</v>
      </c>
      <c r="AA707">
        <v>8.2319144137931044</v>
      </c>
      <c r="AB707">
        <v>15.109209999999999</v>
      </c>
      <c r="AC707">
        <v>10.70626</v>
      </c>
      <c r="AD707" s="5">
        <v>0.41472264498767608</v>
      </c>
      <c r="AE707">
        <v>104.20144827586211</v>
      </c>
      <c r="AF707">
        <v>73.836275862068973</v>
      </c>
      <c r="AG707">
        <v>5.8330657931034464</v>
      </c>
      <c r="AH707" t="str">
        <f t="shared" ref="AH707:AH770" si="23">IF(OR(G707="True",I707="True",J707="True"),"True","False")</f>
        <v>False</v>
      </c>
      <c r="AI707">
        <v>1</v>
      </c>
    </row>
    <row r="708" spans="1:35" x14ac:dyDescent="0.35">
      <c r="A708" t="s">
        <v>816</v>
      </c>
      <c r="B708" t="s">
        <v>803</v>
      </c>
      <c r="C708" t="s">
        <v>33</v>
      </c>
      <c r="D708" t="s">
        <v>283</v>
      </c>
      <c r="E708" t="s">
        <v>39</v>
      </c>
      <c r="F708" t="s">
        <v>283</v>
      </c>
      <c r="G708" t="s">
        <v>35</v>
      </c>
      <c r="H708" t="s">
        <v>35</v>
      </c>
      <c r="I708" t="s">
        <v>35</v>
      </c>
      <c r="J708" t="s">
        <v>35</v>
      </c>
      <c r="K708" t="s">
        <v>35</v>
      </c>
      <c r="L708" t="s">
        <v>37</v>
      </c>
      <c r="M708" t="s">
        <v>37</v>
      </c>
      <c r="N708" t="s">
        <v>35</v>
      </c>
      <c r="O708" t="str">
        <f t="shared" si="22"/>
        <v>True</v>
      </c>
      <c r="P708" s="3">
        <v>36338.83</v>
      </c>
      <c r="Q708" s="3">
        <v>0</v>
      </c>
      <c r="R708" s="3">
        <v>0</v>
      </c>
      <c r="S708" s="3">
        <v>4610.2721759999986</v>
      </c>
      <c r="T708" s="3">
        <v>1500.2495730000001</v>
      </c>
      <c r="U708">
        <v>0.17441920942418901</v>
      </c>
      <c r="V708" s="3">
        <v>-6333.8385400000006</v>
      </c>
      <c r="W708">
        <v>24.221856585724218</v>
      </c>
      <c r="X708">
        <v>1.5387051199999999</v>
      </c>
      <c r="Y708">
        <v>0.50071701000000002</v>
      </c>
      <c r="Z708" s="5">
        <v>0.24551906279451821</v>
      </c>
      <c r="AA708">
        <v>10.61175944827586</v>
      </c>
      <c r="AB708">
        <v>19.47728</v>
      </c>
      <c r="AC708">
        <v>6.3381900000000009</v>
      </c>
      <c r="AD708" s="5">
        <v>0.24551906279451821</v>
      </c>
      <c r="AE708">
        <v>134.32606896551721</v>
      </c>
      <c r="AF708">
        <v>43.711655172413799</v>
      </c>
      <c r="AG708">
        <v>3.453220758620688</v>
      </c>
      <c r="AH708" t="str">
        <f t="shared" si="23"/>
        <v>False</v>
      </c>
      <c r="AI708">
        <v>1</v>
      </c>
    </row>
    <row r="709" spans="1:35" x14ac:dyDescent="0.35">
      <c r="A709" t="s">
        <v>817</v>
      </c>
      <c r="B709" t="s">
        <v>803</v>
      </c>
      <c r="C709" t="s">
        <v>33</v>
      </c>
      <c r="D709" t="s">
        <v>283</v>
      </c>
      <c r="E709" t="s">
        <v>39</v>
      </c>
      <c r="F709" t="s">
        <v>283</v>
      </c>
      <c r="G709" t="s">
        <v>35</v>
      </c>
      <c r="H709" t="s">
        <v>37</v>
      </c>
      <c r="I709" t="s">
        <v>35</v>
      </c>
      <c r="J709" t="s">
        <v>35</v>
      </c>
      <c r="K709" t="s">
        <v>35</v>
      </c>
      <c r="L709" t="s">
        <v>35</v>
      </c>
      <c r="M709" t="s">
        <v>35</v>
      </c>
      <c r="N709" t="s">
        <v>35</v>
      </c>
      <c r="O709" t="str">
        <f t="shared" ref="O709:O772" si="24">IF(COUNTIF(G709:N709,"True")&gt;1, "True", "False")</f>
        <v>False</v>
      </c>
      <c r="P709" s="3">
        <v>36965.06</v>
      </c>
      <c r="Q709" s="3">
        <v>0</v>
      </c>
      <c r="R709" s="3">
        <v>0</v>
      </c>
      <c r="S709" s="3">
        <v>4615.7162760000001</v>
      </c>
      <c r="T709" s="3">
        <v>1494.8054729999999</v>
      </c>
      <c r="U709">
        <v>0.170842141200366</v>
      </c>
      <c r="V709" s="3">
        <v>-7068.9505399999944</v>
      </c>
      <c r="W709">
        <v>24.72901034126733</v>
      </c>
      <c r="X709">
        <v>1.5405221200000001</v>
      </c>
      <c r="Y709">
        <v>0.49890001000000012</v>
      </c>
      <c r="Z709" s="5">
        <v>0.24462812414416629</v>
      </c>
      <c r="AA709">
        <v>10.624290482758621</v>
      </c>
      <c r="AB709">
        <v>19.50028</v>
      </c>
      <c r="AC709">
        <v>6.3151900000000012</v>
      </c>
      <c r="AD709" s="5">
        <v>0.24462812414416629</v>
      </c>
      <c r="AE709">
        <v>134.48468965517239</v>
      </c>
      <c r="AF709">
        <v>43.553034482758633</v>
      </c>
      <c r="AG709">
        <v>3.4406897241379291</v>
      </c>
      <c r="AH709" t="str">
        <f t="shared" si="23"/>
        <v>False</v>
      </c>
      <c r="AI709">
        <v>1</v>
      </c>
    </row>
    <row r="710" spans="1:35" x14ac:dyDescent="0.35">
      <c r="A710" t="s">
        <v>818</v>
      </c>
      <c r="B710" t="s">
        <v>803</v>
      </c>
      <c r="C710" t="s">
        <v>33</v>
      </c>
      <c r="D710" t="s">
        <v>283</v>
      </c>
      <c r="E710" t="s">
        <v>52</v>
      </c>
      <c r="F710" t="s">
        <v>283</v>
      </c>
      <c r="G710" t="s">
        <v>35</v>
      </c>
      <c r="H710" t="s">
        <v>35</v>
      </c>
      <c r="I710" t="s">
        <v>35</v>
      </c>
      <c r="J710" t="s">
        <v>35</v>
      </c>
      <c r="K710" t="s">
        <v>37</v>
      </c>
      <c r="L710" t="s">
        <v>37</v>
      </c>
      <c r="M710" t="s">
        <v>37</v>
      </c>
      <c r="N710" t="s">
        <v>35</v>
      </c>
      <c r="O710" t="str">
        <f t="shared" si="24"/>
        <v>True</v>
      </c>
      <c r="P710" s="3">
        <v>45029.73</v>
      </c>
      <c r="Q710" s="3">
        <v>0</v>
      </c>
      <c r="R710" s="3">
        <v>0</v>
      </c>
      <c r="S710" s="3">
        <v>4305.7576259999996</v>
      </c>
      <c r="T710" s="3">
        <v>1804.7641229999999</v>
      </c>
      <c r="U710">
        <v>0.16932568771786999</v>
      </c>
      <c r="V710" s="3">
        <v>-8934.447540000001</v>
      </c>
      <c r="W710">
        <v>24.950479359678631</v>
      </c>
      <c r="X710">
        <v>1.43707162</v>
      </c>
      <c r="Y710">
        <v>0.60235051000000017</v>
      </c>
      <c r="Z710" s="5">
        <v>0.29535352251963648</v>
      </c>
      <c r="AA710">
        <v>9.9108387586206899</v>
      </c>
      <c r="AB710">
        <v>18.19078</v>
      </c>
      <c r="AC710">
        <v>7.6246900000000011</v>
      </c>
      <c r="AD710" s="5">
        <v>0.29535352251963648</v>
      </c>
      <c r="AE710">
        <v>125.4536551724138</v>
      </c>
      <c r="AF710">
        <v>52.584068965517247</v>
      </c>
      <c r="AG710">
        <v>4.1541414482758601</v>
      </c>
      <c r="AH710" t="str">
        <f t="shared" si="23"/>
        <v>False</v>
      </c>
      <c r="AI710">
        <v>1</v>
      </c>
    </row>
    <row r="711" spans="1:35" x14ac:dyDescent="0.35">
      <c r="A711" t="s">
        <v>819</v>
      </c>
      <c r="B711" t="s">
        <v>820</v>
      </c>
      <c r="C711" t="s">
        <v>33</v>
      </c>
      <c r="D711" t="s">
        <v>39</v>
      </c>
      <c r="E711" t="s">
        <v>52</v>
      </c>
      <c r="F711" t="s">
        <v>39</v>
      </c>
      <c r="G711" t="s">
        <v>35</v>
      </c>
      <c r="H711" t="s">
        <v>35</v>
      </c>
      <c r="I711" t="s">
        <v>35</v>
      </c>
      <c r="J711" t="s">
        <v>35</v>
      </c>
      <c r="K711" t="s">
        <v>35</v>
      </c>
      <c r="L711" t="s">
        <v>35</v>
      </c>
      <c r="M711" t="s">
        <v>35</v>
      </c>
      <c r="N711" t="s">
        <v>35</v>
      </c>
      <c r="O711" t="str">
        <f t="shared" si="24"/>
        <v>False</v>
      </c>
      <c r="P711" s="3">
        <v>0</v>
      </c>
      <c r="Q711" s="3">
        <v>0</v>
      </c>
      <c r="R711" s="3">
        <v>0</v>
      </c>
      <c r="S711" s="3">
        <v>3208.733604</v>
      </c>
      <c r="T711" s="3">
        <v>0</v>
      </c>
      <c r="U711">
        <v>0</v>
      </c>
      <c r="V711" s="3">
        <v>0</v>
      </c>
      <c r="W711">
        <v>0</v>
      </c>
      <c r="X711">
        <v>1.0709334800000001</v>
      </c>
      <c r="Y711">
        <v>0</v>
      </c>
      <c r="Z711" s="5">
        <v>0</v>
      </c>
      <c r="AA711">
        <v>4.6562325217391312</v>
      </c>
      <c r="AB711">
        <v>13.55612</v>
      </c>
      <c r="AC711">
        <v>0</v>
      </c>
      <c r="AD711" s="5">
        <v>0</v>
      </c>
      <c r="AE711">
        <v>58.939652173913053</v>
      </c>
      <c r="AF711">
        <v>0</v>
      </c>
      <c r="AG711">
        <v>0</v>
      </c>
      <c r="AH711" t="str">
        <f t="shared" si="23"/>
        <v>False</v>
      </c>
      <c r="AI711">
        <v>0</v>
      </c>
    </row>
    <row r="712" spans="1:35" x14ac:dyDescent="0.35">
      <c r="A712" t="s">
        <v>821</v>
      </c>
      <c r="B712" t="s">
        <v>820</v>
      </c>
      <c r="C712" t="s">
        <v>33</v>
      </c>
      <c r="D712" t="s">
        <v>39</v>
      </c>
      <c r="E712" t="s">
        <v>52</v>
      </c>
      <c r="F712" t="s">
        <v>39</v>
      </c>
      <c r="G712" t="s">
        <v>37</v>
      </c>
      <c r="H712" t="s">
        <v>35</v>
      </c>
      <c r="I712" t="s">
        <v>35</v>
      </c>
      <c r="J712" t="s">
        <v>35</v>
      </c>
      <c r="K712" t="s">
        <v>35</v>
      </c>
      <c r="L712" t="s">
        <v>35</v>
      </c>
      <c r="M712" t="s">
        <v>35</v>
      </c>
      <c r="N712" t="s">
        <v>35</v>
      </c>
      <c r="O712" t="str">
        <f t="shared" si="24"/>
        <v>False</v>
      </c>
      <c r="P712" s="3">
        <v>24740.71</v>
      </c>
      <c r="Q712" s="3">
        <v>0</v>
      </c>
      <c r="R712" s="3">
        <v>0</v>
      </c>
      <c r="S712" s="3">
        <v>2957.1191370000001</v>
      </c>
      <c r="T712" s="3">
        <v>251.61446699999999</v>
      </c>
      <c r="U712">
        <v>4.2966026439823203E-2</v>
      </c>
      <c r="V712" s="3">
        <v>-19708.42066</v>
      </c>
      <c r="W712">
        <v>98.327851712914395</v>
      </c>
      <c r="X712">
        <v>0.98695569000000005</v>
      </c>
      <c r="Y712">
        <v>8.3977790000000094E-2</v>
      </c>
      <c r="Z712" s="5">
        <v>7.8415505321581799E-2</v>
      </c>
      <c r="AA712">
        <v>4.2911116956521731</v>
      </c>
      <c r="AB712">
        <v>12.49311</v>
      </c>
      <c r="AC712">
        <v>1.06301</v>
      </c>
      <c r="AD712" s="5">
        <v>7.8415505321581702E-2</v>
      </c>
      <c r="AE712">
        <v>54.317869565217393</v>
      </c>
      <c r="AF712">
        <v>4.6217826086956526</v>
      </c>
      <c r="AG712">
        <v>0.36512082608695812</v>
      </c>
      <c r="AH712" t="str">
        <f t="shared" si="23"/>
        <v>True</v>
      </c>
      <c r="AI712">
        <v>1</v>
      </c>
    </row>
    <row r="713" spans="1:35" x14ac:dyDescent="0.35">
      <c r="A713" t="s">
        <v>822</v>
      </c>
      <c r="B713" t="s">
        <v>820</v>
      </c>
      <c r="C713" t="s">
        <v>33</v>
      </c>
      <c r="D713" t="s">
        <v>39</v>
      </c>
      <c r="E713" t="s">
        <v>77</v>
      </c>
      <c r="F713" t="s">
        <v>39</v>
      </c>
      <c r="G713" t="s">
        <v>37</v>
      </c>
      <c r="H713" t="s">
        <v>35</v>
      </c>
      <c r="I713" t="s">
        <v>37</v>
      </c>
      <c r="J713" t="s">
        <v>35</v>
      </c>
      <c r="K713" t="s">
        <v>35</v>
      </c>
      <c r="L713" t="s">
        <v>35</v>
      </c>
      <c r="M713" t="s">
        <v>35</v>
      </c>
      <c r="N713" t="s">
        <v>35</v>
      </c>
      <c r="O713" t="str">
        <f t="shared" si="24"/>
        <v>True</v>
      </c>
      <c r="P713" s="3">
        <v>109856.9</v>
      </c>
      <c r="Q713" s="3">
        <v>0</v>
      </c>
      <c r="R713" s="3">
        <v>0</v>
      </c>
      <c r="S713" s="3">
        <v>2378.8918079999999</v>
      </c>
      <c r="T713" s="3">
        <v>829.84179599999982</v>
      </c>
      <c r="U713">
        <v>3.1913152473809103E-2</v>
      </c>
      <c r="V713" s="3">
        <v>-93260.064079999996</v>
      </c>
      <c r="W713">
        <v>132.38294398948301</v>
      </c>
      <c r="X713">
        <v>0.79396896000000006</v>
      </c>
      <c r="Y713">
        <v>0.27696451999999999</v>
      </c>
      <c r="Z713" s="5">
        <v>0.25861972304759773</v>
      </c>
      <c r="AA713">
        <v>3.4520389565217391</v>
      </c>
      <c r="AB713">
        <v>10.050240000000001</v>
      </c>
      <c r="AC713">
        <v>3.505879999999999</v>
      </c>
      <c r="AD713" s="5">
        <v>0.25861972304759773</v>
      </c>
      <c r="AE713">
        <v>43.696695652173908</v>
      </c>
      <c r="AF713">
        <v>15.24295652173913</v>
      </c>
      <c r="AG713">
        <v>1.2041935652173921</v>
      </c>
      <c r="AH713" t="str">
        <f t="shared" si="23"/>
        <v>True</v>
      </c>
      <c r="AI713">
        <v>1</v>
      </c>
    </row>
    <row r="714" spans="1:35" x14ac:dyDescent="0.35">
      <c r="A714" t="s">
        <v>823</v>
      </c>
      <c r="B714" t="s">
        <v>820</v>
      </c>
      <c r="C714" t="s">
        <v>33</v>
      </c>
      <c r="D714" t="s">
        <v>39</v>
      </c>
      <c r="E714" t="s">
        <v>52</v>
      </c>
      <c r="F714" t="s">
        <v>39</v>
      </c>
      <c r="G714" t="s">
        <v>35</v>
      </c>
      <c r="H714" t="s">
        <v>35</v>
      </c>
      <c r="I714" t="s">
        <v>37</v>
      </c>
      <c r="J714" t="s">
        <v>35</v>
      </c>
      <c r="K714" t="s">
        <v>35</v>
      </c>
      <c r="L714" t="s">
        <v>35</v>
      </c>
      <c r="M714" t="s">
        <v>35</v>
      </c>
      <c r="N714" t="s">
        <v>35</v>
      </c>
      <c r="O714" t="str">
        <f t="shared" si="24"/>
        <v>False</v>
      </c>
      <c r="P714" s="3">
        <v>85116.18</v>
      </c>
      <c r="Q714" s="3">
        <v>0</v>
      </c>
      <c r="R714" s="3">
        <v>0</v>
      </c>
      <c r="S714" s="3">
        <v>2607.8611860000001</v>
      </c>
      <c r="T714" s="3">
        <v>600.87241799999981</v>
      </c>
      <c r="U714">
        <v>2.9824411762839901E-2</v>
      </c>
      <c r="V714" s="3">
        <v>-73098.731639999998</v>
      </c>
      <c r="W714">
        <v>141.65433035403541</v>
      </c>
      <c r="X714">
        <v>0.87038882000000006</v>
      </c>
      <c r="Y714">
        <v>0.20054466000000001</v>
      </c>
      <c r="Z714" s="5">
        <v>0.1872615468142802</v>
      </c>
      <c r="AA714">
        <v>3.7842992173913039</v>
      </c>
      <c r="AB714">
        <v>11.017580000000001</v>
      </c>
      <c r="AC714">
        <v>2.5385399999999989</v>
      </c>
      <c r="AD714" s="5">
        <v>0.18726154681428009</v>
      </c>
      <c r="AE714">
        <v>47.902521739130442</v>
      </c>
      <c r="AF714">
        <v>11.037130434782609</v>
      </c>
      <c r="AG714">
        <v>0.87193330434782679</v>
      </c>
      <c r="AH714" t="str">
        <f t="shared" si="23"/>
        <v>True</v>
      </c>
      <c r="AI714">
        <v>1</v>
      </c>
    </row>
    <row r="715" spans="1:35" x14ac:dyDescent="0.35">
      <c r="A715" t="s">
        <v>824</v>
      </c>
      <c r="B715" t="s">
        <v>820</v>
      </c>
      <c r="C715" t="s">
        <v>33</v>
      </c>
      <c r="D715" t="s">
        <v>39</v>
      </c>
      <c r="E715" t="s">
        <v>52</v>
      </c>
      <c r="F715" t="s">
        <v>39</v>
      </c>
      <c r="G715" t="s">
        <v>37</v>
      </c>
      <c r="H715" t="s">
        <v>35</v>
      </c>
      <c r="I715" t="s">
        <v>35</v>
      </c>
      <c r="J715" t="s">
        <v>35</v>
      </c>
      <c r="K715" t="s">
        <v>37</v>
      </c>
      <c r="L715" t="s">
        <v>35</v>
      </c>
      <c r="M715" t="s">
        <v>35</v>
      </c>
      <c r="N715" t="s">
        <v>35</v>
      </c>
      <c r="O715" t="str">
        <f t="shared" si="24"/>
        <v>True</v>
      </c>
      <c r="P715" s="3">
        <v>43516.13</v>
      </c>
      <c r="Q715" s="3">
        <v>0</v>
      </c>
      <c r="R715" s="3">
        <v>0</v>
      </c>
      <c r="S715" s="3">
        <v>2905.873587</v>
      </c>
      <c r="T715" s="3">
        <v>302.86001700000003</v>
      </c>
      <c r="U715">
        <v>2.94031201763576E-2</v>
      </c>
      <c r="V715" s="3">
        <v>-37458.929659999987</v>
      </c>
      <c r="W715">
        <v>143.68397133121729</v>
      </c>
      <c r="X715">
        <v>0.96985219</v>
      </c>
      <c r="Y715">
        <v>0.1010812900000001</v>
      </c>
      <c r="Z715" s="5">
        <v>9.4386151789745201E-2</v>
      </c>
      <c r="AA715">
        <v>4.216748652173913</v>
      </c>
      <c r="AB715">
        <v>12.27661</v>
      </c>
      <c r="AC715">
        <v>1.2795099999999999</v>
      </c>
      <c r="AD715" s="5">
        <v>9.4386151789745104E-2</v>
      </c>
      <c r="AE715">
        <v>53.37656521739131</v>
      </c>
      <c r="AF715">
        <v>5.5630869565217402</v>
      </c>
      <c r="AG715">
        <v>0.43948386956521812</v>
      </c>
      <c r="AH715" t="str">
        <f t="shared" si="23"/>
        <v>True</v>
      </c>
      <c r="AI715">
        <v>1</v>
      </c>
    </row>
    <row r="716" spans="1:35" x14ac:dyDescent="0.35">
      <c r="A716" t="s">
        <v>825</v>
      </c>
      <c r="B716" t="s">
        <v>820</v>
      </c>
      <c r="C716" t="s">
        <v>33</v>
      </c>
      <c r="D716" t="s">
        <v>39</v>
      </c>
      <c r="E716" t="s">
        <v>77</v>
      </c>
      <c r="F716" t="s">
        <v>39</v>
      </c>
      <c r="G716" t="s">
        <v>37</v>
      </c>
      <c r="H716" t="s">
        <v>35</v>
      </c>
      <c r="I716" t="s">
        <v>37</v>
      </c>
      <c r="J716" t="s">
        <v>35</v>
      </c>
      <c r="K716" t="s">
        <v>37</v>
      </c>
      <c r="L716" t="s">
        <v>35</v>
      </c>
      <c r="M716" t="s">
        <v>35</v>
      </c>
      <c r="N716" t="s">
        <v>35</v>
      </c>
      <c r="O716" t="str">
        <f t="shared" si="24"/>
        <v>True</v>
      </c>
      <c r="P716" s="3">
        <v>128632.3</v>
      </c>
      <c r="Q716" s="3">
        <v>0</v>
      </c>
      <c r="R716" s="3">
        <v>0</v>
      </c>
      <c r="S716" s="3">
        <v>2334.3524424000002</v>
      </c>
      <c r="T716" s="3">
        <v>874.38116160000004</v>
      </c>
      <c r="U716">
        <v>2.8717888119857898E-2</v>
      </c>
      <c r="V716" s="3">
        <v>-111144.676768</v>
      </c>
      <c r="W716">
        <v>147.11238719349831</v>
      </c>
      <c r="X716">
        <v>0.77910368799999996</v>
      </c>
      <c r="Y716">
        <v>0.29182979200000009</v>
      </c>
      <c r="Z716" s="5">
        <v>0.27250039096732698</v>
      </c>
      <c r="AA716">
        <v>3.387407339130434</v>
      </c>
      <c r="AB716">
        <v>9.8620719999999995</v>
      </c>
      <c r="AC716">
        <v>3.694048</v>
      </c>
      <c r="AD716" s="5">
        <v>0.27250039096732698</v>
      </c>
      <c r="AE716">
        <v>42.878573913043482</v>
      </c>
      <c r="AF716">
        <v>16.061078260869571</v>
      </c>
      <c r="AG716">
        <v>1.2688251826086969</v>
      </c>
      <c r="AH716" t="str">
        <f t="shared" si="23"/>
        <v>True</v>
      </c>
      <c r="AI716">
        <v>1</v>
      </c>
    </row>
    <row r="717" spans="1:35" x14ac:dyDescent="0.35">
      <c r="A717" t="s">
        <v>826</v>
      </c>
      <c r="B717" t="s">
        <v>820</v>
      </c>
      <c r="C717" t="s">
        <v>33</v>
      </c>
      <c r="D717" t="s">
        <v>39</v>
      </c>
      <c r="E717" t="s">
        <v>77</v>
      </c>
      <c r="F717" t="s">
        <v>39</v>
      </c>
      <c r="G717" t="s">
        <v>37</v>
      </c>
      <c r="H717" t="s">
        <v>35</v>
      </c>
      <c r="I717" t="s">
        <v>35</v>
      </c>
      <c r="J717" t="s">
        <v>37</v>
      </c>
      <c r="K717" t="s">
        <v>35</v>
      </c>
      <c r="L717" t="s">
        <v>35</v>
      </c>
      <c r="M717" t="s">
        <v>35</v>
      </c>
      <c r="N717" t="s">
        <v>35</v>
      </c>
      <c r="O717" t="str">
        <f t="shared" si="24"/>
        <v>True</v>
      </c>
      <c r="P717" s="3">
        <v>129201.5</v>
      </c>
      <c r="Q717" s="3">
        <v>0</v>
      </c>
      <c r="R717" s="3">
        <v>0</v>
      </c>
      <c r="S717" s="3">
        <v>2334.4973027999999</v>
      </c>
      <c r="T717" s="3">
        <v>874.23630119999996</v>
      </c>
      <c r="U717">
        <v>2.8586634056106099E-2</v>
      </c>
      <c r="V717" s="3">
        <v>-111716.773976</v>
      </c>
      <c r="W717">
        <v>147.78784617231591</v>
      </c>
      <c r="X717">
        <v>0.77915203599999994</v>
      </c>
      <c r="Y717">
        <v>0.29178144400000022</v>
      </c>
      <c r="Z717" s="5">
        <v>0.27245524530617921</v>
      </c>
      <c r="AA717">
        <v>3.3876175478260868</v>
      </c>
      <c r="AB717">
        <v>9.8626839999999998</v>
      </c>
      <c r="AC717">
        <v>3.6934360000000002</v>
      </c>
      <c r="AD717" s="5">
        <v>0.27245524530617909</v>
      </c>
      <c r="AE717">
        <v>42.881234782608693</v>
      </c>
      <c r="AF717">
        <v>16.058417391304349</v>
      </c>
      <c r="AG717">
        <v>1.2686149739130439</v>
      </c>
      <c r="AH717" t="str">
        <f t="shared" si="23"/>
        <v>True</v>
      </c>
      <c r="AI717">
        <v>1</v>
      </c>
    </row>
    <row r="718" spans="1:35" x14ac:dyDescent="0.35">
      <c r="A718" t="s">
        <v>827</v>
      </c>
      <c r="B718" t="s">
        <v>820</v>
      </c>
      <c r="C718" t="s">
        <v>33</v>
      </c>
      <c r="D718" t="s">
        <v>39</v>
      </c>
      <c r="E718" t="s">
        <v>52</v>
      </c>
      <c r="F718" t="s">
        <v>39</v>
      </c>
      <c r="G718" t="s">
        <v>35</v>
      </c>
      <c r="H718" t="s">
        <v>35</v>
      </c>
      <c r="I718" t="s">
        <v>37</v>
      </c>
      <c r="J718" t="s">
        <v>35</v>
      </c>
      <c r="K718" t="s">
        <v>37</v>
      </c>
      <c r="L718" t="s">
        <v>35</v>
      </c>
      <c r="M718" t="s">
        <v>35</v>
      </c>
      <c r="N718" t="s">
        <v>35</v>
      </c>
      <c r="O718" t="str">
        <f t="shared" si="24"/>
        <v>True</v>
      </c>
      <c r="P718" s="3">
        <v>103891.6</v>
      </c>
      <c r="Q718" s="3">
        <v>0</v>
      </c>
      <c r="R718" s="3">
        <v>0</v>
      </c>
      <c r="S718" s="3">
        <v>2561.0442929999999</v>
      </c>
      <c r="T718" s="3">
        <v>647.68931100000009</v>
      </c>
      <c r="U718">
        <v>2.6338318016086E-2</v>
      </c>
      <c r="V718" s="3">
        <v>-90937.813779999997</v>
      </c>
      <c r="W718">
        <v>160.40344998066519</v>
      </c>
      <c r="X718">
        <v>0.85476341</v>
      </c>
      <c r="Y718">
        <v>0.2161700700000001</v>
      </c>
      <c r="Z718" s="5">
        <v>0.20185200485094559</v>
      </c>
      <c r="AA718">
        <v>3.7163626521739128</v>
      </c>
      <c r="AB718">
        <v>10.819789999999999</v>
      </c>
      <c r="AC718">
        <v>2.736330000000001</v>
      </c>
      <c r="AD718" s="5">
        <v>0.20185200485094559</v>
      </c>
      <c r="AE718">
        <v>47.042565217391299</v>
      </c>
      <c r="AF718">
        <v>11.89708695652174</v>
      </c>
      <c r="AG718">
        <v>0.93986986956521801</v>
      </c>
      <c r="AH718" t="str">
        <f t="shared" si="23"/>
        <v>True</v>
      </c>
      <c r="AI718">
        <v>1</v>
      </c>
    </row>
    <row r="719" spans="1:35" x14ac:dyDescent="0.35">
      <c r="A719" t="s">
        <v>828</v>
      </c>
      <c r="B719" t="s">
        <v>820</v>
      </c>
      <c r="C719" t="s">
        <v>33</v>
      </c>
      <c r="D719" t="s">
        <v>39</v>
      </c>
      <c r="E719" t="s">
        <v>77</v>
      </c>
      <c r="F719" t="s">
        <v>39</v>
      </c>
      <c r="G719" t="s">
        <v>37</v>
      </c>
      <c r="H719" t="s">
        <v>35</v>
      </c>
      <c r="I719" t="s">
        <v>35</v>
      </c>
      <c r="J719" t="s">
        <v>37</v>
      </c>
      <c r="K719" t="s">
        <v>37</v>
      </c>
      <c r="L719" t="s">
        <v>35</v>
      </c>
      <c r="M719" t="s">
        <v>35</v>
      </c>
      <c r="N719" t="s">
        <v>35</v>
      </c>
      <c r="O719" t="str">
        <f t="shared" si="24"/>
        <v>True</v>
      </c>
      <c r="P719" s="3">
        <v>147976.9</v>
      </c>
      <c r="Q719" s="3">
        <v>0</v>
      </c>
      <c r="R719" s="3">
        <v>0</v>
      </c>
      <c r="S719" s="3">
        <v>2288.7706499999999</v>
      </c>
      <c r="T719" s="3">
        <v>919.96295399999997</v>
      </c>
      <c r="U719">
        <v>2.6265045422630098E-2</v>
      </c>
      <c r="V719" s="3">
        <v>-129577.64092000001</v>
      </c>
      <c r="W719">
        <v>160.8509335692228</v>
      </c>
      <c r="X719">
        <v>0.76389049999999992</v>
      </c>
      <c r="Y719">
        <v>0.30704298000000019</v>
      </c>
      <c r="Z719" s="5">
        <v>0.28670593060551258</v>
      </c>
      <c r="AA719">
        <v>3.3212630434782602</v>
      </c>
      <c r="AB719">
        <v>9.6694999999999993</v>
      </c>
      <c r="AC719">
        <v>3.8866200000000011</v>
      </c>
      <c r="AD719" s="5">
        <v>0.28670593060551253</v>
      </c>
      <c r="AE719">
        <v>42.041304347826078</v>
      </c>
      <c r="AF719">
        <v>16.898347826086962</v>
      </c>
      <c r="AG719">
        <v>1.334969478260871</v>
      </c>
      <c r="AH719" t="str">
        <f t="shared" si="23"/>
        <v>True</v>
      </c>
      <c r="AI719">
        <v>1</v>
      </c>
    </row>
    <row r="720" spans="1:35" x14ac:dyDescent="0.35">
      <c r="A720" t="s">
        <v>829</v>
      </c>
      <c r="B720" t="s">
        <v>820</v>
      </c>
      <c r="C720" t="s">
        <v>33</v>
      </c>
      <c r="D720" t="s">
        <v>39</v>
      </c>
      <c r="E720" t="s">
        <v>77</v>
      </c>
      <c r="F720" t="s">
        <v>39</v>
      </c>
      <c r="G720" t="s">
        <v>37</v>
      </c>
      <c r="H720" t="s">
        <v>35</v>
      </c>
      <c r="I720" t="s">
        <v>37</v>
      </c>
      <c r="J720" t="s">
        <v>35</v>
      </c>
      <c r="K720" t="s">
        <v>35</v>
      </c>
      <c r="L720" t="s">
        <v>37</v>
      </c>
      <c r="M720" t="s">
        <v>35</v>
      </c>
      <c r="N720" t="s">
        <v>35</v>
      </c>
      <c r="O720" t="str">
        <f t="shared" si="24"/>
        <v>True</v>
      </c>
      <c r="P720" s="3">
        <v>159729.1</v>
      </c>
      <c r="Q720" s="3">
        <v>0</v>
      </c>
      <c r="R720" s="3">
        <v>0</v>
      </c>
      <c r="S720" s="3">
        <v>2222.4191427000001</v>
      </c>
      <c r="T720" s="3">
        <v>986.31446129999983</v>
      </c>
      <c r="U720">
        <v>2.6087538213137099E-2</v>
      </c>
      <c r="V720" s="3">
        <v>-140002.81077400001</v>
      </c>
      <c r="W720">
        <v>161.94541017828229</v>
      </c>
      <c r="X720">
        <v>0.74174529900000008</v>
      </c>
      <c r="Y720">
        <v>0.32918818100000002</v>
      </c>
      <c r="Z720" s="5">
        <v>0.30738434006190563</v>
      </c>
      <c r="AA720">
        <v>3.2249795608695648</v>
      </c>
      <c r="AB720">
        <v>9.3891810000000007</v>
      </c>
      <c r="AC720">
        <v>4.1669389999999993</v>
      </c>
      <c r="AD720" s="5">
        <v>0.30738434006190563</v>
      </c>
      <c r="AE720">
        <v>40.822526086956522</v>
      </c>
      <c r="AF720">
        <v>18.117126086956521</v>
      </c>
      <c r="AG720">
        <v>1.4312529608695661</v>
      </c>
      <c r="AH720" t="str">
        <f t="shared" si="23"/>
        <v>True</v>
      </c>
      <c r="AI720">
        <v>1</v>
      </c>
    </row>
    <row r="721" spans="1:35" x14ac:dyDescent="0.35">
      <c r="A721" t="s">
        <v>830</v>
      </c>
      <c r="B721" t="s">
        <v>820</v>
      </c>
      <c r="C721" t="s">
        <v>33</v>
      </c>
      <c r="D721" t="s">
        <v>39</v>
      </c>
      <c r="E721" t="s">
        <v>52</v>
      </c>
      <c r="F721" t="s">
        <v>39</v>
      </c>
      <c r="G721" t="s">
        <v>35</v>
      </c>
      <c r="H721" t="s">
        <v>35</v>
      </c>
      <c r="I721" t="s">
        <v>35</v>
      </c>
      <c r="J721" t="s">
        <v>37</v>
      </c>
      <c r="K721" t="s">
        <v>35</v>
      </c>
      <c r="L721" t="s">
        <v>35</v>
      </c>
      <c r="M721" t="s">
        <v>35</v>
      </c>
      <c r="N721" t="s">
        <v>35</v>
      </c>
      <c r="O721" t="str">
        <f t="shared" si="24"/>
        <v>False</v>
      </c>
      <c r="P721" s="3">
        <v>104460.8</v>
      </c>
      <c r="Q721" s="3">
        <v>0</v>
      </c>
      <c r="R721" s="3">
        <v>0</v>
      </c>
      <c r="S721" s="3">
        <v>2568.8530260000002</v>
      </c>
      <c r="T721" s="3">
        <v>639.88057800000013</v>
      </c>
      <c r="U721">
        <v>2.5878990013478698E-2</v>
      </c>
      <c r="V721" s="3">
        <v>-91663.188439999998</v>
      </c>
      <c r="W721">
        <v>163.25046202605631</v>
      </c>
      <c r="X721">
        <v>0.85736961999999994</v>
      </c>
      <c r="Y721">
        <v>0.21356386000000019</v>
      </c>
      <c r="Z721" s="5">
        <v>0.19941841765933041</v>
      </c>
      <c r="AA721">
        <v>3.7276940000000001</v>
      </c>
      <c r="AB721">
        <v>10.852779999999999</v>
      </c>
      <c r="AC721">
        <v>2.7033400000000012</v>
      </c>
      <c r="AD721" s="5">
        <v>0.1994184176593303</v>
      </c>
      <c r="AE721">
        <v>47.185999999999993</v>
      </c>
      <c r="AF721">
        <v>11.75365217391305</v>
      </c>
      <c r="AG721">
        <v>0.92853852173913165</v>
      </c>
      <c r="AH721" t="str">
        <f t="shared" si="23"/>
        <v>True</v>
      </c>
      <c r="AI721">
        <v>1</v>
      </c>
    </row>
    <row r="722" spans="1:35" x14ac:dyDescent="0.35">
      <c r="A722" t="s">
        <v>831</v>
      </c>
      <c r="B722" t="s">
        <v>820</v>
      </c>
      <c r="C722" t="s">
        <v>33</v>
      </c>
      <c r="D722" t="s">
        <v>39</v>
      </c>
      <c r="E722" t="s">
        <v>77</v>
      </c>
      <c r="F722" t="s">
        <v>39</v>
      </c>
      <c r="G722" t="s">
        <v>37</v>
      </c>
      <c r="H722" t="s">
        <v>35</v>
      </c>
      <c r="I722" t="s">
        <v>35</v>
      </c>
      <c r="J722" t="s">
        <v>37</v>
      </c>
      <c r="K722" t="s">
        <v>35</v>
      </c>
      <c r="L722" t="s">
        <v>37</v>
      </c>
      <c r="M722" t="s">
        <v>35</v>
      </c>
      <c r="N722" t="s">
        <v>35</v>
      </c>
      <c r="O722" t="str">
        <f t="shared" si="24"/>
        <v>True</v>
      </c>
      <c r="P722" s="3">
        <v>179073.7</v>
      </c>
      <c r="Q722" s="3">
        <v>0</v>
      </c>
      <c r="R722" s="3">
        <v>0</v>
      </c>
      <c r="S722" s="3">
        <v>2175.4465011000002</v>
      </c>
      <c r="T722" s="3">
        <v>1033.2871029</v>
      </c>
      <c r="U722">
        <v>2.43775998373853E-2</v>
      </c>
      <c r="V722" s="3">
        <v>-158407.95794200001</v>
      </c>
      <c r="W722">
        <v>173.30488254176001</v>
      </c>
      <c r="X722">
        <v>0.72606790700000001</v>
      </c>
      <c r="Y722">
        <v>0.34486557300000009</v>
      </c>
      <c r="Z722" s="5">
        <v>0.32202333706104702</v>
      </c>
      <c r="AA722">
        <v>3.1568169869565219</v>
      </c>
      <c r="AB722">
        <v>9.1907329999999998</v>
      </c>
      <c r="AC722">
        <v>4.3653870000000001</v>
      </c>
      <c r="AD722" s="5">
        <v>0.32202333706104702</v>
      </c>
      <c r="AE722">
        <v>39.959708695652168</v>
      </c>
      <c r="AF722">
        <v>18.979943478260871</v>
      </c>
      <c r="AG722">
        <v>1.499415534782609</v>
      </c>
      <c r="AH722" t="str">
        <f t="shared" si="23"/>
        <v>True</v>
      </c>
      <c r="AI722">
        <v>1</v>
      </c>
    </row>
    <row r="723" spans="1:35" x14ac:dyDescent="0.35">
      <c r="A723" t="s">
        <v>832</v>
      </c>
      <c r="B723" t="s">
        <v>820</v>
      </c>
      <c r="C723" t="s">
        <v>33</v>
      </c>
      <c r="D723" t="s">
        <v>39</v>
      </c>
      <c r="E723" t="s">
        <v>77</v>
      </c>
      <c r="F723" t="s">
        <v>39</v>
      </c>
      <c r="G723" t="s">
        <v>37</v>
      </c>
      <c r="H723" t="s">
        <v>35</v>
      </c>
      <c r="I723" t="s">
        <v>37</v>
      </c>
      <c r="J723" t="s">
        <v>35</v>
      </c>
      <c r="K723" t="s">
        <v>37</v>
      </c>
      <c r="L723" t="s">
        <v>37</v>
      </c>
      <c r="M723" t="s">
        <v>35</v>
      </c>
      <c r="N723" t="s">
        <v>35</v>
      </c>
      <c r="O723" t="str">
        <f t="shared" si="24"/>
        <v>True</v>
      </c>
      <c r="P723" s="3">
        <v>178504.5</v>
      </c>
      <c r="Q723" s="3">
        <v>0</v>
      </c>
      <c r="R723" s="3">
        <v>0</v>
      </c>
      <c r="S723" s="3">
        <v>2179.8119591999998</v>
      </c>
      <c r="T723" s="3">
        <v>1028.9216448</v>
      </c>
      <c r="U723">
        <v>2.4352013534672801E-2</v>
      </c>
      <c r="V723" s="3">
        <v>-157926.06710399999</v>
      </c>
      <c r="W723">
        <v>173.4869714347368</v>
      </c>
      <c r="X723">
        <v>0.72752490399999992</v>
      </c>
      <c r="Y723">
        <v>0.34340857600000019</v>
      </c>
      <c r="Z723" s="5">
        <v>0.32066284453073612</v>
      </c>
      <c r="AA723">
        <v>3.1631517565217391</v>
      </c>
      <c r="AB723">
        <v>9.2091759999999994</v>
      </c>
      <c r="AC723">
        <v>4.3469440000000006</v>
      </c>
      <c r="AD723" s="5">
        <v>0.32066284453073601</v>
      </c>
      <c r="AE723">
        <v>40.039895652173911</v>
      </c>
      <c r="AF723">
        <v>18.899756521739128</v>
      </c>
      <c r="AG723">
        <v>1.493080765217393</v>
      </c>
      <c r="AH723" t="str">
        <f t="shared" si="23"/>
        <v>True</v>
      </c>
      <c r="AI723">
        <v>1</v>
      </c>
    </row>
    <row r="724" spans="1:35" x14ac:dyDescent="0.35">
      <c r="A724" t="s">
        <v>833</v>
      </c>
      <c r="B724" t="s">
        <v>820</v>
      </c>
      <c r="C724" t="s">
        <v>33</v>
      </c>
      <c r="D724" t="s">
        <v>39</v>
      </c>
      <c r="E724" t="s">
        <v>52</v>
      </c>
      <c r="F724" t="s">
        <v>39</v>
      </c>
      <c r="G724" t="s">
        <v>37</v>
      </c>
      <c r="H724" t="s">
        <v>35</v>
      </c>
      <c r="I724" t="s">
        <v>35</v>
      </c>
      <c r="J724" t="s">
        <v>35</v>
      </c>
      <c r="K724" t="s">
        <v>35</v>
      </c>
      <c r="L724" t="s">
        <v>37</v>
      </c>
      <c r="M724" t="s">
        <v>35</v>
      </c>
      <c r="N724" t="s">
        <v>35</v>
      </c>
      <c r="O724" t="str">
        <f t="shared" si="24"/>
        <v>True</v>
      </c>
      <c r="P724" s="3">
        <v>74612.91</v>
      </c>
      <c r="Q724" s="3">
        <v>0</v>
      </c>
      <c r="R724" s="3">
        <v>0</v>
      </c>
      <c r="S724" s="3">
        <v>2785.641822</v>
      </c>
      <c r="T724" s="3">
        <v>423.09178199999991</v>
      </c>
      <c r="U724">
        <v>2.39564439987664E-2</v>
      </c>
      <c r="V724" s="3">
        <v>-66151.074359999999</v>
      </c>
      <c r="W724">
        <v>176.35159361237609</v>
      </c>
      <c r="X724">
        <v>0.92972414000000003</v>
      </c>
      <c r="Y724">
        <v>0.1412093400000001</v>
      </c>
      <c r="Z724" s="5">
        <v>0.13185631286828389</v>
      </c>
      <c r="AA724">
        <v>4.0422788695652176</v>
      </c>
      <c r="AB724">
        <v>11.768660000000001</v>
      </c>
      <c r="AC724">
        <v>1.7874599999999989</v>
      </c>
      <c r="AD724" s="5">
        <v>0.13185631286828381</v>
      </c>
      <c r="AE724">
        <v>51.168086956521741</v>
      </c>
      <c r="AF724">
        <v>7.7715652173913012</v>
      </c>
      <c r="AG724">
        <v>0.61395365217391351</v>
      </c>
      <c r="AH724" t="str">
        <f t="shared" si="23"/>
        <v>True</v>
      </c>
      <c r="AI724">
        <v>1</v>
      </c>
    </row>
    <row r="725" spans="1:35" x14ac:dyDescent="0.35">
      <c r="A725" t="s">
        <v>834</v>
      </c>
      <c r="B725" t="s">
        <v>820</v>
      </c>
      <c r="C725" t="s">
        <v>33</v>
      </c>
      <c r="D725" t="s">
        <v>39</v>
      </c>
      <c r="E725" t="s">
        <v>52</v>
      </c>
      <c r="F725" t="s">
        <v>39</v>
      </c>
      <c r="G725" t="s">
        <v>35</v>
      </c>
      <c r="H725" t="s">
        <v>35</v>
      </c>
      <c r="I725" t="s">
        <v>37</v>
      </c>
      <c r="J725" t="s">
        <v>35</v>
      </c>
      <c r="K725" t="s">
        <v>35</v>
      </c>
      <c r="L725" t="s">
        <v>37</v>
      </c>
      <c r="M725" t="s">
        <v>35</v>
      </c>
      <c r="N725" t="s">
        <v>35</v>
      </c>
      <c r="O725" t="str">
        <f t="shared" si="24"/>
        <v>True</v>
      </c>
      <c r="P725" s="3">
        <v>134988.4</v>
      </c>
      <c r="Q725" s="3">
        <v>0</v>
      </c>
      <c r="R725" s="3">
        <v>0</v>
      </c>
      <c r="S725" s="3">
        <v>2445.2104140000001</v>
      </c>
      <c r="T725" s="3">
        <v>763.52318999999989</v>
      </c>
      <c r="U725">
        <v>2.38961273709444E-2</v>
      </c>
      <c r="V725" s="3">
        <v>-119717.9362</v>
      </c>
      <c r="W725">
        <v>176.79672571569179</v>
      </c>
      <c r="X725">
        <v>0.81610318000000004</v>
      </c>
      <c r="Y725">
        <v>0.25483030000000012</v>
      </c>
      <c r="Z725" s="5">
        <v>0.2379515672626091</v>
      </c>
      <c r="AA725">
        <v>3.5482746956521738</v>
      </c>
      <c r="AB725">
        <v>10.33042</v>
      </c>
      <c r="AC725">
        <v>3.2256999999999998</v>
      </c>
      <c r="AD725" s="5">
        <v>0.23795156726260899</v>
      </c>
      <c r="AE725">
        <v>44.914869565217387</v>
      </c>
      <c r="AF725">
        <v>14.02478260869565</v>
      </c>
      <c r="AG725">
        <v>1.1079578260869569</v>
      </c>
      <c r="AH725" t="str">
        <f t="shared" si="23"/>
        <v>True</v>
      </c>
      <c r="AI725">
        <v>1</v>
      </c>
    </row>
    <row r="726" spans="1:35" x14ac:dyDescent="0.35">
      <c r="A726" t="s">
        <v>835</v>
      </c>
      <c r="B726" t="s">
        <v>820</v>
      </c>
      <c r="C726" t="s">
        <v>33</v>
      </c>
      <c r="D726" t="s">
        <v>39</v>
      </c>
      <c r="E726" t="s">
        <v>52</v>
      </c>
      <c r="F726" t="s">
        <v>39</v>
      </c>
      <c r="G726" t="s">
        <v>35</v>
      </c>
      <c r="H726" t="s">
        <v>35</v>
      </c>
      <c r="I726" t="s">
        <v>35</v>
      </c>
      <c r="J726" t="s">
        <v>37</v>
      </c>
      <c r="K726" t="s">
        <v>37</v>
      </c>
      <c r="L726" t="s">
        <v>35</v>
      </c>
      <c r="M726" t="s">
        <v>35</v>
      </c>
      <c r="N726" t="s">
        <v>35</v>
      </c>
      <c r="O726" t="str">
        <f t="shared" si="24"/>
        <v>True</v>
      </c>
      <c r="P726" s="3">
        <v>123236.2</v>
      </c>
      <c r="Q726" s="3">
        <v>0</v>
      </c>
      <c r="R726" s="3">
        <v>0</v>
      </c>
      <c r="S726" s="3">
        <v>2520.1898729999998</v>
      </c>
      <c r="T726" s="3">
        <v>688.54373099999987</v>
      </c>
      <c r="U726">
        <v>2.36045090647066E-2</v>
      </c>
      <c r="V726" s="3">
        <v>-109465.32537999999</v>
      </c>
      <c r="W726">
        <v>178.9809338922004</v>
      </c>
      <c r="X726">
        <v>0.84112801000000004</v>
      </c>
      <c r="Y726">
        <v>0.22980547000000009</v>
      </c>
      <c r="Z726" s="5">
        <v>0.2145842615733706</v>
      </c>
      <c r="AA726">
        <v>3.6570783043478259</v>
      </c>
      <c r="AB726">
        <v>10.64719</v>
      </c>
      <c r="AC726">
        <v>2.9089299999999998</v>
      </c>
      <c r="AD726" s="5">
        <v>0.21458426157337049</v>
      </c>
      <c r="AE726">
        <v>46.292130434782607</v>
      </c>
      <c r="AF726">
        <v>12.647521739130431</v>
      </c>
      <c r="AG726">
        <v>0.99915421739130483</v>
      </c>
      <c r="AH726" t="str">
        <f t="shared" si="23"/>
        <v>True</v>
      </c>
      <c r="AI726">
        <v>1</v>
      </c>
    </row>
    <row r="727" spans="1:35" x14ac:dyDescent="0.35">
      <c r="A727" t="s">
        <v>836</v>
      </c>
      <c r="B727" t="s">
        <v>837</v>
      </c>
      <c r="C727" t="s">
        <v>232</v>
      </c>
      <c r="D727" t="s">
        <v>281</v>
      </c>
      <c r="E727" t="s">
        <v>39</v>
      </c>
      <c r="F727" t="s">
        <v>281</v>
      </c>
      <c r="G727" t="s">
        <v>35</v>
      </c>
      <c r="H727" t="s">
        <v>35</v>
      </c>
      <c r="I727" t="s">
        <v>35</v>
      </c>
      <c r="J727" t="s">
        <v>35</v>
      </c>
      <c r="K727" t="s">
        <v>35</v>
      </c>
      <c r="L727" t="s">
        <v>35</v>
      </c>
      <c r="M727" t="s">
        <v>35</v>
      </c>
      <c r="N727" t="s">
        <v>35</v>
      </c>
      <c r="O727" t="str">
        <f t="shared" si="24"/>
        <v>False</v>
      </c>
      <c r="P727" s="3">
        <v>0</v>
      </c>
      <c r="Q727" s="3">
        <v>0</v>
      </c>
      <c r="R727" s="3">
        <v>0</v>
      </c>
      <c r="S727" s="3">
        <v>5123.1134970000003</v>
      </c>
      <c r="T727" s="3">
        <v>0</v>
      </c>
      <c r="U727">
        <v>0</v>
      </c>
      <c r="V727" s="3">
        <v>0</v>
      </c>
      <c r="W727">
        <v>0</v>
      </c>
      <c r="X727">
        <v>1.7098688900000001</v>
      </c>
      <c r="Y727">
        <v>0</v>
      </c>
      <c r="Z727" s="5">
        <v>0</v>
      </c>
      <c r="AA727">
        <v>17.098688899999999</v>
      </c>
      <c r="AB727">
        <v>21.643910000000002</v>
      </c>
      <c r="AC727">
        <v>0</v>
      </c>
      <c r="AD727" s="5">
        <v>0</v>
      </c>
      <c r="AE727">
        <v>216.4391</v>
      </c>
      <c r="AF727">
        <v>0</v>
      </c>
      <c r="AG727">
        <v>-3.5527136788005009E-15</v>
      </c>
      <c r="AH727" t="str">
        <f t="shared" si="23"/>
        <v>False</v>
      </c>
      <c r="AI727">
        <v>0</v>
      </c>
    </row>
    <row r="728" spans="1:35" x14ac:dyDescent="0.35">
      <c r="A728" t="s">
        <v>838</v>
      </c>
      <c r="B728" t="s">
        <v>837</v>
      </c>
      <c r="C728" t="s">
        <v>232</v>
      </c>
      <c r="D728" t="s">
        <v>283</v>
      </c>
      <c r="E728" t="s">
        <v>52</v>
      </c>
      <c r="F728" t="s">
        <v>283</v>
      </c>
      <c r="G728" t="s">
        <v>37</v>
      </c>
      <c r="H728" t="s">
        <v>35</v>
      </c>
      <c r="I728" t="s">
        <v>35</v>
      </c>
      <c r="J728" t="s">
        <v>35</v>
      </c>
      <c r="K728" t="s">
        <v>35</v>
      </c>
      <c r="L728" t="s">
        <v>35</v>
      </c>
      <c r="M728" t="s">
        <v>35</v>
      </c>
      <c r="N728" t="s">
        <v>35</v>
      </c>
      <c r="O728" t="str">
        <f t="shared" si="24"/>
        <v>False</v>
      </c>
      <c r="P728" s="3">
        <v>7118.8789999999999</v>
      </c>
      <c r="Q728" s="3">
        <v>0</v>
      </c>
      <c r="R728" s="3">
        <v>0</v>
      </c>
      <c r="S728" s="3">
        <v>3055.8680100000001</v>
      </c>
      <c r="T728" s="3">
        <v>2067.245487000001</v>
      </c>
      <c r="U728">
        <v>1.226823773799218</v>
      </c>
      <c r="V728" s="3">
        <v>34226.030740000009</v>
      </c>
      <c r="W728">
        <v>3.4436543916857021</v>
      </c>
      <c r="X728">
        <v>1.0199137</v>
      </c>
      <c r="Y728">
        <v>0.68995519000000005</v>
      </c>
      <c r="Z728" s="5">
        <v>0.40351350564662303</v>
      </c>
      <c r="AA728">
        <v>10.199137</v>
      </c>
      <c r="AB728">
        <v>12.910299999999999</v>
      </c>
      <c r="AC728">
        <v>8.7336100000000023</v>
      </c>
      <c r="AD728" s="5">
        <v>0.40351350564662308</v>
      </c>
      <c r="AE728">
        <v>129.10300000000001</v>
      </c>
      <c r="AF728">
        <v>87.33610000000003</v>
      </c>
      <c r="AG728">
        <v>6.8995518999999987</v>
      </c>
      <c r="AH728" t="str">
        <f t="shared" si="23"/>
        <v>True</v>
      </c>
      <c r="AI728">
        <v>1</v>
      </c>
    </row>
    <row r="729" spans="1:35" x14ac:dyDescent="0.35">
      <c r="A729" t="s">
        <v>839</v>
      </c>
      <c r="B729" t="s">
        <v>837</v>
      </c>
      <c r="C729" t="s">
        <v>232</v>
      </c>
      <c r="D729" t="s">
        <v>283</v>
      </c>
      <c r="E729" t="s">
        <v>52</v>
      </c>
      <c r="F729" t="s">
        <v>283</v>
      </c>
      <c r="G729" t="s">
        <v>37</v>
      </c>
      <c r="H729" t="s">
        <v>35</v>
      </c>
      <c r="I729" t="s">
        <v>37</v>
      </c>
      <c r="J729" t="s">
        <v>35</v>
      </c>
      <c r="K729" t="s">
        <v>35</v>
      </c>
      <c r="L729" t="s">
        <v>35</v>
      </c>
      <c r="M729" t="s">
        <v>35</v>
      </c>
      <c r="N729" t="s">
        <v>35</v>
      </c>
      <c r="O729" t="str">
        <f t="shared" si="24"/>
        <v>True</v>
      </c>
      <c r="P729" s="3">
        <v>10348</v>
      </c>
      <c r="Q729" s="3">
        <v>0</v>
      </c>
      <c r="R729" s="3">
        <v>0</v>
      </c>
      <c r="S729" s="3">
        <v>2988.0865979999999</v>
      </c>
      <c r="T729" s="3">
        <v>2135.026899</v>
      </c>
      <c r="U729">
        <v>0.87166312330885209</v>
      </c>
      <c r="V729" s="3">
        <v>32352.537980000008</v>
      </c>
      <c r="W729">
        <v>4.8467773426399337</v>
      </c>
      <c r="X729">
        <v>0.99729126000000001</v>
      </c>
      <c r="Y729">
        <v>0.71257763000000018</v>
      </c>
      <c r="Z729" s="5">
        <v>0.41674401713923231</v>
      </c>
      <c r="AA729">
        <v>9.9729126000000008</v>
      </c>
      <c r="AB729">
        <v>12.623939999999999</v>
      </c>
      <c r="AC729">
        <v>9.0199700000000025</v>
      </c>
      <c r="AD729" s="5">
        <v>0.41674401713923231</v>
      </c>
      <c r="AE729">
        <v>126.2394</v>
      </c>
      <c r="AF729">
        <v>90.199700000000036</v>
      </c>
      <c r="AG729">
        <v>7.1257763000000001</v>
      </c>
      <c r="AH729" t="str">
        <f t="shared" si="23"/>
        <v>True</v>
      </c>
      <c r="AI729">
        <v>1</v>
      </c>
    </row>
    <row r="730" spans="1:35" x14ac:dyDescent="0.35">
      <c r="A730" t="s">
        <v>840</v>
      </c>
      <c r="B730" t="s">
        <v>837</v>
      </c>
      <c r="C730" t="s">
        <v>232</v>
      </c>
      <c r="D730" t="s">
        <v>34</v>
      </c>
      <c r="E730" t="s">
        <v>52</v>
      </c>
      <c r="F730" t="s">
        <v>34</v>
      </c>
      <c r="G730" t="s">
        <v>37</v>
      </c>
      <c r="H730" t="s">
        <v>35</v>
      </c>
      <c r="I730" t="s">
        <v>35</v>
      </c>
      <c r="J730" t="s">
        <v>35</v>
      </c>
      <c r="K730" t="s">
        <v>37</v>
      </c>
      <c r="L730" t="s">
        <v>35</v>
      </c>
      <c r="M730" t="s">
        <v>35</v>
      </c>
      <c r="N730" t="s">
        <v>35</v>
      </c>
      <c r="O730" t="str">
        <f t="shared" si="24"/>
        <v>True</v>
      </c>
      <c r="P730" s="3">
        <v>12838.63</v>
      </c>
      <c r="Q730" s="3">
        <v>0</v>
      </c>
      <c r="R730" s="3">
        <v>0</v>
      </c>
      <c r="S730" s="3">
        <v>2625.9426990000002</v>
      </c>
      <c r="T730" s="3">
        <v>2497.1707980000001</v>
      </c>
      <c r="U730">
        <v>0.8217340946814421</v>
      </c>
      <c r="V730" s="3">
        <v>37104.785960000001</v>
      </c>
      <c r="W730">
        <v>5.1412702768599328</v>
      </c>
      <c r="X730">
        <v>0.87642363000000001</v>
      </c>
      <c r="Y730">
        <v>0.83344526000000008</v>
      </c>
      <c r="Z730" s="5">
        <v>0.48743226154608849</v>
      </c>
      <c r="AA730">
        <v>8.7642363000000003</v>
      </c>
      <c r="AB730">
        <v>11.093970000000001</v>
      </c>
      <c r="AC730">
        <v>10.549939999999999</v>
      </c>
      <c r="AD730" s="5">
        <v>0.48743226154608849</v>
      </c>
      <c r="AE730">
        <v>110.9397</v>
      </c>
      <c r="AF730">
        <v>105.49939999999999</v>
      </c>
      <c r="AG730">
        <v>8.3344525999999988</v>
      </c>
      <c r="AH730" t="str">
        <f t="shared" si="23"/>
        <v>True</v>
      </c>
      <c r="AI730">
        <v>1</v>
      </c>
    </row>
    <row r="731" spans="1:35" x14ac:dyDescent="0.35">
      <c r="A731" t="s">
        <v>841</v>
      </c>
      <c r="B731" t="s">
        <v>837</v>
      </c>
      <c r="C731" t="s">
        <v>232</v>
      </c>
      <c r="D731" t="s">
        <v>283</v>
      </c>
      <c r="E731" t="s">
        <v>52</v>
      </c>
      <c r="F731" t="s">
        <v>283</v>
      </c>
      <c r="G731" t="s">
        <v>37</v>
      </c>
      <c r="H731" t="s">
        <v>35</v>
      </c>
      <c r="I731" t="s">
        <v>35</v>
      </c>
      <c r="J731" t="s">
        <v>37</v>
      </c>
      <c r="K731" t="s">
        <v>35</v>
      </c>
      <c r="L731" t="s">
        <v>35</v>
      </c>
      <c r="M731" t="s">
        <v>35</v>
      </c>
      <c r="N731" t="s">
        <v>35</v>
      </c>
      <c r="O731" t="str">
        <f t="shared" si="24"/>
        <v>True</v>
      </c>
      <c r="P731" s="3">
        <v>11082</v>
      </c>
      <c r="Q731" s="3">
        <v>0</v>
      </c>
      <c r="R731" s="3">
        <v>0</v>
      </c>
      <c r="S731" s="3">
        <v>2997.0906660000001</v>
      </c>
      <c r="T731" s="3">
        <v>2126.0228310000002</v>
      </c>
      <c r="U731">
        <v>0.81049720267099812</v>
      </c>
      <c r="V731" s="3">
        <v>31438.456620000001</v>
      </c>
      <c r="W731">
        <v>5.2125498552559986</v>
      </c>
      <c r="X731">
        <v>1.00029642</v>
      </c>
      <c r="Y731">
        <v>0.70957247000000012</v>
      </c>
      <c r="Z731" s="5">
        <v>0.41498647887558221</v>
      </c>
      <c r="AA731">
        <v>10.002964199999999</v>
      </c>
      <c r="AB731">
        <v>12.66198</v>
      </c>
      <c r="AC731">
        <v>8.981930000000002</v>
      </c>
      <c r="AD731" s="5">
        <v>0.41498647887558221</v>
      </c>
      <c r="AE731">
        <v>126.6198</v>
      </c>
      <c r="AF731">
        <v>89.819300000000027</v>
      </c>
      <c r="AG731">
        <v>7.0957246999999981</v>
      </c>
      <c r="AH731" t="str">
        <f t="shared" si="23"/>
        <v>True</v>
      </c>
      <c r="AI731">
        <v>1</v>
      </c>
    </row>
    <row r="732" spans="1:35" x14ac:dyDescent="0.35">
      <c r="A732" t="s">
        <v>842</v>
      </c>
      <c r="B732" t="s">
        <v>837</v>
      </c>
      <c r="C732" t="s">
        <v>232</v>
      </c>
      <c r="D732" t="s">
        <v>34</v>
      </c>
      <c r="E732" t="s">
        <v>52</v>
      </c>
      <c r="F732" t="s">
        <v>34</v>
      </c>
      <c r="G732" t="s">
        <v>37</v>
      </c>
      <c r="H732" t="s">
        <v>35</v>
      </c>
      <c r="I732" t="s">
        <v>37</v>
      </c>
      <c r="J732" t="s">
        <v>35</v>
      </c>
      <c r="K732" t="s">
        <v>37</v>
      </c>
      <c r="L732" t="s">
        <v>35</v>
      </c>
      <c r="M732" t="s">
        <v>35</v>
      </c>
      <c r="N732" t="s">
        <v>35</v>
      </c>
      <c r="O732" t="str">
        <f t="shared" si="24"/>
        <v>True</v>
      </c>
      <c r="P732" s="3">
        <v>16067.81</v>
      </c>
      <c r="Q732" s="3">
        <v>0</v>
      </c>
      <c r="R732" s="3">
        <v>0</v>
      </c>
      <c r="S732" s="3">
        <v>2559.801618</v>
      </c>
      <c r="T732" s="3">
        <v>2563.3118789999999</v>
      </c>
      <c r="U732">
        <v>0.67397921683166551</v>
      </c>
      <c r="V732" s="3">
        <v>35198.42758000001</v>
      </c>
      <c r="W732">
        <v>6.2683788623756449</v>
      </c>
      <c r="X732">
        <v>0.85434865999999998</v>
      </c>
      <c r="Y732">
        <v>0.8555202300000001</v>
      </c>
      <c r="Z732" s="5">
        <v>0.50034259059476782</v>
      </c>
      <c r="AA732">
        <v>8.5434865999999996</v>
      </c>
      <c r="AB732">
        <v>10.814539999999999</v>
      </c>
      <c r="AC732">
        <v>10.829370000000001</v>
      </c>
      <c r="AD732" s="5">
        <v>0.50034259059476782</v>
      </c>
      <c r="AE732">
        <v>108.1454</v>
      </c>
      <c r="AF732">
        <v>108.2937</v>
      </c>
      <c r="AG732">
        <v>8.5552022999999995</v>
      </c>
      <c r="AH732" t="str">
        <f t="shared" si="23"/>
        <v>True</v>
      </c>
      <c r="AI732">
        <v>1</v>
      </c>
    </row>
    <row r="733" spans="1:35" x14ac:dyDescent="0.35">
      <c r="A733" t="s">
        <v>843</v>
      </c>
      <c r="B733" t="s">
        <v>837</v>
      </c>
      <c r="C733" t="s">
        <v>232</v>
      </c>
      <c r="D733" t="s">
        <v>34</v>
      </c>
      <c r="E733" t="s">
        <v>52</v>
      </c>
      <c r="F733" t="s">
        <v>34</v>
      </c>
      <c r="G733" t="s">
        <v>37</v>
      </c>
      <c r="H733" t="s">
        <v>35</v>
      </c>
      <c r="I733" t="s">
        <v>35</v>
      </c>
      <c r="J733" t="s">
        <v>37</v>
      </c>
      <c r="K733" t="s">
        <v>37</v>
      </c>
      <c r="L733" t="s">
        <v>35</v>
      </c>
      <c r="M733" t="s">
        <v>35</v>
      </c>
      <c r="N733" t="s">
        <v>35</v>
      </c>
      <c r="O733" t="str">
        <f t="shared" si="24"/>
        <v>True</v>
      </c>
      <c r="P733" s="3">
        <v>16802</v>
      </c>
      <c r="Q733" s="3">
        <v>0</v>
      </c>
      <c r="R733" s="3">
        <v>0</v>
      </c>
      <c r="S733" s="3">
        <v>2568.2920469999999</v>
      </c>
      <c r="T733" s="3">
        <v>2554.8214499999999</v>
      </c>
      <c r="U733">
        <v>0.64239376264730397</v>
      </c>
      <c r="V733" s="3">
        <v>34294.428999999996</v>
      </c>
      <c r="W733">
        <v>6.5765848333549872</v>
      </c>
      <c r="X733">
        <v>0.85718239000000007</v>
      </c>
      <c r="Y733">
        <v>0.85268650000000001</v>
      </c>
      <c r="Z733" s="5">
        <v>0.49868531148022699</v>
      </c>
      <c r="AA733">
        <v>8.5718239000000001</v>
      </c>
      <c r="AB733">
        <v>10.85041</v>
      </c>
      <c r="AC733">
        <v>10.7935</v>
      </c>
      <c r="AD733" s="5">
        <v>0.49868531148022699</v>
      </c>
      <c r="AE733">
        <v>108.50409999999999</v>
      </c>
      <c r="AF733">
        <v>107.935</v>
      </c>
      <c r="AG733">
        <v>8.526864999999999</v>
      </c>
      <c r="AH733" t="str">
        <f t="shared" si="23"/>
        <v>True</v>
      </c>
      <c r="AI733">
        <v>1</v>
      </c>
    </row>
    <row r="734" spans="1:35" x14ac:dyDescent="0.35">
      <c r="A734" t="s">
        <v>844</v>
      </c>
      <c r="B734" t="s">
        <v>837</v>
      </c>
      <c r="C734" t="s">
        <v>232</v>
      </c>
      <c r="D734" t="s">
        <v>283</v>
      </c>
      <c r="E734" t="s">
        <v>52</v>
      </c>
      <c r="F734" t="s">
        <v>283</v>
      </c>
      <c r="G734" t="s">
        <v>37</v>
      </c>
      <c r="H734" t="s">
        <v>35</v>
      </c>
      <c r="I734" t="s">
        <v>35</v>
      </c>
      <c r="J734" t="s">
        <v>35</v>
      </c>
      <c r="K734" t="s">
        <v>35</v>
      </c>
      <c r="L734" t="s">
        <v>35</v>
      </c>
      <c r="M734" t="s">
        <v>37</v>
      </c>
      <c r="N734" t="s">
        <v>35</v>
      </c>
      <c r="O734" t="str">
        <f t="shared" si="24"/>
        <v>True</v>
      </c>
      <c r="P734" s="3">
        <v>14840.54</v>
      </c>
      <c r="Q734" s="3">
        <v>0</v>
      </c>
      <c r="R734" s="3">
        <v>0</v>
      </c>
      <c r="S734" s="3">
        <v>2928.0855150000002</v>
      </c>
      <c r="T734" s="3">
        <v>2195.027982000001</v>
      </c>
      <c r="U734">
        <v>0.62487348843101409</v>
      </c>
      <c r="V734" s="3">
        <v>29060.01964000001</v>
      </c>
      <c r="W734">
        <v>6.7609798698229069</v>
      </c>
      <c r="X734">
        <v>0.97726555000000004</v>
      </c>
      <c r="Y734">
        <v>0.73260334000000005</v>
      </c>
      <c r="Z734" s="5">
        <v>0.42845585663588509</v>
      </c>
      <c r="AA734">
        <v>9.7726555000000008</v>
      </c>
      <c r="AB734">
        <v>12.37045</v>
      </c>
      <c r="AC734">
        <v>9.2734600000000018</v>
      </c>
      <c r="AD734" s="5">
        <v>0.42845585663588509</v>
      </c>
      <c r="AE734">
        <v>123.7045</v>
      </c>
      <c r="AF734">
        <v>92.7346</v>
      </c>
      <c r="AG734">
        <v>7.3260333999999983</v>
      </c>
      <c r="AH734" t="str">
        <f t="shared" si="23"/>
        <v>True</v>
      </c>
      <c r="AI734">
        <v>1</v>
      </c>
    </row>
    <row r="735" spans="1:35" x14ac:dyDescent="0.35">
      <c r="A735" t="s">
        <v>845</v>
      </c>
      <c r="B735" t="s">
        <v>837</v>
      </c>
      <c r="C735" t="s">
        <v>232</v>
      </c>
      <c r="D735" t="s">
        <v>34</v>
      </c>
      <c r="E735" t="s">
        <v>52</v>
      </c>
      <c r="F735" t="s">
        <v>34</v>
      </c>
      <c r="G735" t="s">
        <v>37</v>
      </c>
      <c r="H735" t="s">
        <v>35</v>
      </c>
      <c r="I735" t="s">
        <v>35</v>
      </c>
      <c r="J735" t="s">
        <v>35</v>
      </c>
      <c r="K735" t="s">
        <v>37</v>
      </c>
      <c r="L735" t="s">
        <v>35</v>
      </c>
      <c r="M735" t="s">
        <v>37</v>
      </c>
      <c r="N735" t="s">
        <v>35</v>
      </c>
      <c r="O735" t="str">
        <f t="shared" si="24"/>
        <v>True</v>
      </c>
      <c r="P735" s="3">
        <v>20560.28</v>
      </c>
      <c r="Q735" s="3">
        <v>0</v>
      </c>
      <c r="R735" s="3">
        <v>0</v>
      </c>
      <c r="S735" s="3">
        <v>2503.2894930000002</v>
      </c>
      <c r="T735" s="3">
        <v>2619.824004000001</v>
      </c>
      <c r="U735">
        <v>0.53832535354576894</v>
      </c>
      <c r="V735" s="3">
        <v>31836.20008000001</v>
      </c>
      <c r="W735">
        <v>7.847962293882393</v>
      </c>
      <c r="X735">
        <v>0.83548740999999993</v>
      </c>
      <c r="Y735">
        <v>0.87438148000000016</v>
      </c>
      <c r="Z735" s="5">
        <v>0.51137340711544266</v>
      </c>
      <c r="AA735">
        <v>8.3548741</v>
      </c>
      <c r="AB735">
        <v>10.57579</v>
      </c>
      <c r="AC735">
        <v>11.06812</v>
      </c>
      <c r="AD735" s="5">
        <v>0.51137340711544266</v>
      </c>
      <c r="AE735">
        <v>105.75790000000001</v>
      </c>
      <c r="AF735">
        <v>110.6812</v>
      </c>
      <c r="AG735">
        <v>8.7438147999999991</v>
      </c>
      <c r="AH735" t="str">
        <f t="shared" si="23"/>
        <v>True</v>
      </c>
      <c r="AI735">
        <v>1</v>
      </c>
    </row>
    <row r="736" spans="1:35" x14ac:dyDescent="0.35">
      <c r="A736" t="s">
        <v>846</v>
      </c>
      <c r="B736" t="s">
        <v>837</v>
      </c>
      <c r="C736" t="s">
        <v>232</v>
      </c>
      <c r="D736" t="s">
        <v>34</v>
      </c>
      <c r="E736" t="s">
        <v>52</v>
      </c>
      <c r="F736" t="s">
        <v>34</v>
      </c>
      <c r="G736" t="s">
        <v>37</v>
      </c>
      <c r="H736" t="s">
        <v>35</v>
      </c>
      <c r="I736" t="s">
        <v>35</v>
      </c>
      <c r="J736" t="s">
        <v>35</v>
      </c>
      <c r="K736" t="s">
        <v>35</v>
      </c>
      <c r="L736" t="s">
        <v>37</v>
      </c>
      <c r="M736" t="s">
        <v>35</v>
      </c>
      <c r="N736" t="s">
        <v>35</v>
      </c>
      <c r="O736" t="str">
        <f t="shared" si="24"/>
        <v>True</v>
      </c>
      <c r="P736" s="3">
        <v>22311.96</v>
      </c>
      <c r="Q736" s="3">
        <v>0</v>
      </c>
      <c r="R736" s="3">
        <v>0</v>
      </c>
      <c r="S736" s="3">
        <v>2310.1266707999998</v>
      </c>
      <c r="T736" s="3">
        <v>2812.9868262</v>
      </c>
      <c r="U736">
        <v>0.53263747335509748</v>
      </c>
      <c r="V736" s="3">
        <v>33947.776524000001</v>
      </c>
      <c r="W736">
        <v>7.931768393718615</v>
      </c>
      <c r="X736">
        <v>0.77101819599999999</v>
      </c>
      <c r="Y736">
        <v>0.93885069399999999</v>
      </c>
      <c r="Z736" s="5">
        <v>0.54907759272700729</v>
      </c>
      <c r="AA736">
        <v>7.7101819599999999</v>
      </c>
      <c r="AB736">
        <v>9.7597240000000003</v>
      </c>
      <c r="AC736">
        <v>11.884186</v>
      </c>
      <c r="AD736" s="5">
        <v>0.54907759272700729</v>
      </c>
      <c r="AE736">
        <v>97.597239999999999</v>
      </c>
      <c r="AF736">
        <v>118.84186</v>
      </c>
      <c r="AG736">
        <v>9.3885069399999992</v>
      </c>
      <c r="AH736" t="str">
        <f t="shared" si="23"/>
        <v>True</v>
      </c>
      <c r="AI736">
        <v>1</v>
      </c>
    </row>
    <row r="737" spans="1:35" x14ac:dyDescent="0.35">
      <c r="A737" t="s">
        <v>847</v>
      </c>
      <c r="B737" t="s">
        <v>837</v>
      </c>
      <c r="C737" t="s">
        <v>232</v>
      </c>
      <c r="D737" t="s">
        <v>283</v>
      </c>
      <c r="E737" t="s">
        <v>52</v>
      </c>
      <c r="F737" t="s">
        <v>283</v>
      </c>
      <c r="G737" t="s">
        <v>37</v>
      </c>
      <c r="H737" t="s">
        <v>35</v>
      </c>
      <c r="I737" t="s">
        <v>37</v>
      </c>
      <c r="J737" t="s">
        <v>35</v>
      </c>
      <c r="K737" t="s">
        <v>35</v>
      </c>
      <c r="L737" t="s">
        <v>35</v>
      </c>
      <c r="M737" t="s">
        <v>37</v>
      </c>
      <c r="N737" t="s">
        <v>35</v>
      </c>
      <c r="O737" t="str">
        <f t="shared" si="24"/>
        <v>True</v>
      </c>
      <c r="P737" s="3">
        <v>18069.72</v>
      </c>
      <c r="Q737" s="3">
        <v>0</v>
      </c>
      <c r="R737" s="3">
        <v>0</v>
      </c>
      <c r="S737" s="3">
        <v>2860.810641</v>
      </c>
      <c r="T737" s="3">
        <v>2262.3028559999998</v>
      </c>
      <c r="U737">
        <v>0.52893348651777672</v>
      </c>
      <c r="V737" s="3">
        <v>27176.33712</v>
      </c>
      <c r="W737">
        <v>7.9873125528158724</v>
      </c>
      <c r="X737">
        <v>0.95481216999999996</v>
      </c>
      <c r="Y737">
        <v>0.75505672000000001</v>
      </c>
      <c r="Z737" s="5">
        <v>0.44158749505057082</v>
      </c>
      <c r="AA737">
        <v>9.5481216999999994</v>
      </c>
      <c r="AB737">
        <v>12.08623</v>
      </c>
      <c r="AC737">
        <v>9.5576799999999995</v>
      </c>
      <c r="AD737" s="5">
        <v>0.44158749505057082</v>
      </c>
      <c r="AE737">
        <v>120.8623</v>
      </c>
      <c r="AF737">
        <v>95.57680000000002</v>
      </c>
      <c r="AG737">
        <v>7.5505671999999979</v>
      </c>
      <c r="AH737" t="str">
        <f t="shared" si="23"/>
        <v>True</v>
      </c>
      <c r="AI737">
        <v>1</v>
      </c>
    </row>
    <row r="738" spans="1:35" x14ac:dyDescent="0.35">
      <c r="A738" t="s">
        <v>848</v>
      </c>
      <c r="B738" t="s">
        <v>837</v>
      </c>
      <c r="C738" t="s">
        <v>232</v>
      </c>
      <c r="D738" t="s">
        <v>283</v>
      </c>
      <c r="E738" t="s">
        <v>52</v>
      </c>
      <c r="F738" t="s">
        <v>283</v>
      </c>
      <c r="G738" t="s">
        <v>37</v>
      </c>
      <c r="H738" t="s">
        <v>35</v>
      </c>
      <c r="I738" t="s">
        <v>35</v>
      </c>
      <c r="J738" t="s">
        <v>37</v>
      </c>
      <c r="K738" t="s">
        <v>35</v>
      </c>
      <c r="L738" t="s">
        <v>35</v>
      </c>
      <c r="M738" t="s">
        <v>37</v>
      </c>
      <c r="N738" t="s">
        <v>35</v>
      </c>
      <c r="O738" t="str">
        <f t="shared" si="24"/>
        <v>True</v>
      </c>
      <c r="P738" s="3">
        <v>18803.62</v>
      </c>
      <c r="Q738" s="3">
        <v>0</v>
      </c>
      <c r="R738" s="3">
        <v>0</v>
      </c>
      <c r="S738" s="3">
        <v>2869.7247630000002</v>
      </c>
      <c r="T738" s="3">
        <v>2253.388734000001</v>
      </c>
      <c r="U738">
        <v>0.50628655546112944</v>
      </c>
      <c r="V738" s="3">
        <v>26264.154680000011</v>
      </c>
      <c r="W738">
        <v>8.3445966141055514</v>
      </c>
      <c r="X738">
        <v>0.95778730999999995</v>
      </c>
      <c r="Y738">
        <v>0.75208158000000014</v>
      </c>
      <c r="Z738" s="5">
        <v>0.43984751368860808</v>
      </c>
      <c r="AA738">
        <v>9.5778730999999997</v>
      </c>
      <c r="AB738">
        <v>12.123889999999999</v>
      </c>
      <c r="AC738">
        <v>9.5200200000000024</v>
      </c>
      <c r="AD738" s="5">
        <v>0.43984751368860808</v>
      </c>
      <c r="AE738">
        <v>121.2389</v>
      </c>
      <c r="AF738">
        <v>95.200200000000024</v>
      </c>
      <c r="AG738">
        <v>7.5208157999999994</v>
      </c>
      <c r="AH738" t="str">
        <f t="shared" si="23"/>
        <v>True</v>
      </c>
      <c r="AI738">
        <v>1</v>
      </c>
    </row>
    <row r="739" spans="1:35" x14ac:dyDescent="0.35">
      <c r="A739" t="s">
        <v>849</v>
      </c>
      <c r="B739" t="s">
        <v>837</v>
      </c>
      <c r="C739" t="s">
        <v>232</v>
      </c>
      <c r="D739" t="s">
        <v>34</v>
      </c>
      <c r="E739" t="s">
        <v>52</v>
      </c>
      <c r="F739" t="s">
        <v>34</v>
      </c>
      <c r="G739" t="s">
        <v>37</v>
      </c>
      <c r="H739" t="s">
        <v>35</v>
      </c>
      <c r="I739" t="s">
        <v>35</v>
      </c>
      <c r="J739" t="s">
        <v>35</v>
      </c>
      <c r="K739" t="s">
        <v>37</v>
      </c>
      <c r="L739" t="s">
        <v>37</v>
      </c>
      <c r="M739" t="s">
        <v>35</v>
      </c>
      <c r="N739" t="s">
        <v>35</v>
      </c>
      <c r="O739" t="str">
        <f t="shared" si="24"/>
        <v>True</v>
      </c>
      <c r="P739" s="3">
        <v>28031.7</v>
      </c>
      <c r="Q739" s="3">
        <v>0</v>
      </c>
      <c r="R739" s="3">
        <v>0</v>
      </c>
      <c r="S739" s="3">
        <v>1900.2827511</v>
      </c>
      <c r="T739" s="3">
        <v>3222.8307458999998</v>
      </c>
      <c r="U739">
        <v>0.48572426930938911</v>
      </c>
      <c r="V739" s="3">
        <v>36424.914918000009</v>
      </c>
      <c r="W739">
        <v>8.6978504954568852</v>
      </c>
      <c r="X739">
        <v>0.634230407</v>
      </c>
      <c r="Y739">
        <v>1.0756384830000001</v>
      </c>
      <c r="Z739" s="5">
        <v>0.6290765855152789</v>
      </c>
      <c r="AA739">
        <v>6.34230407</v>
      </c>
      <c r="AB739">
        <v>8.0282330000000002</v>
      </c>
      <c r="AC739">
        <v>13.615677</v>
      </c>
      <c r="AD739" s="5">
        <v>0.6290765855152789</v>
      </c>
      <c r="AE739">
        <v>80.282330000000002</v>
      </c>
      <c r="AF739">
        <v>136.15676999999999</v>
      </c>
      <c r="AG739">
        <v>10.75638483</v>
      </c>
      <c r="AH739" t="str">
        <f t="shared" si="23"/>
        <v>True</v>
      </c>
      <c r="AI739">
        <v>1</v>
      </c>
    </row>
    <row r="740" spans="1:35" x14ac:dyDescent="0.35">
      <c r="A740" t="s">
        <v>850</v>
      </c>
      <c r="B740" t="s">
        <v>837</v>
      </c>
      <c r="C740" t="s">
        <v>232</v>
      </c>
      <c r="D740" t="s">
        <v>34</v>
      </c>
      <c r="E740" t="s">
        <v>52</v>
      </c>
      <c r="F740" t="s">
        <v>34</v>
      </c>
      <c r="G740" t="s">
        <v>37</v>
      </c>
      <c r="H740" t="s">
        <v>35</v>
      </c>
      <c r="I740" t="s">
        <v>37</v>
      </c>
      <c r="J740" t="s">
        <v>35</v>
      </c>
      <c r="K740" t="s">
        <v>37</v>
      </c>
      <c r="L740" t="s">
        <v>35</v>
      </c>
      <c r="M740" t="s">
        <v>37</v>
      </c>
      <c r="N740" t="s">
        <v>35</v>
      </c>
      <c r="O740" t="str">
        <f t="shared" si="24"/>
        <v>True</v>
      </c>
      <c r="P740" s="3">
        <v>23789.47</v>
      </c>
      <c r="Q740" s="3">
        <v>0</v>
      </c>
      <c r="R740" s="3">
        <v>0</v>
      </c>
      <c r="S740" s="3">
        <v>2437.7306939999999</v>
      </c>
      <c r="T740" s="3">
        <v>2685.382803</v>
      </c>
      <c r="U740">
        <v>0.47689544996168481</v>
      </c>
      <c r="V740" s="3">
        <v>29918.186060000011</v>
      </c>
      <c r="W740">
        <v>8.8588747844156046</v>
      </c>
      <c r="X740">
        <v>0.81360677999999997</v>
      </c>
      <c r="Y740">
        <v>0.89626211000000011</v>
      </c>
      <c r="Z740" s="5">
        <v>0.52417007832688278</v>
      </c>
      <c r="AA740">
        <v>8.1360677999999993</v>
      </c>
      <c r="AB740">
        <v>10.298819999999999</v>
      </c>
      <c r="AC740">
        <v>11.345090000000001</v>
      </c>
      <c r="AD740" s="5">
        <v>0.52417007832688278</v>
      </c>
      <c r="AE740">
        <v>102.98820000000001</v>
      </c>
      <c r="AF740">
        <v>113.4509</v>
      </c>
      <c r="AG740">
        <v>8.9626210999999998</v>
      </c>
      <c r="AH740" t="str">
        <f t="shared" si="23"/>
        <v>True</v>
      </c>
      <c r="AI740">
        <v>1</v>
      </c>
    </row>
    <row r="741" spans="1:35" x14ac:dyDescent="0.35">
      <c r="A741" t="s">
        <v>851</v>
      </c>
      <c r="B741" t="s">
        <v>837</v>
      </c>
      <c r="C741" t="s">
        <v>232</v>
      </c>
      <c r="D741" t="s">
        <v>283</v>
      </c>
      <c r="E741" t="s">
        <v>39</v>
      </c>
      <c r="F741" t="s">
        <v>283</v>
      </c>
      <c r="G741" t="s">
        <v>35</v>
      </c>
      <c r="H741" t="s">
        <v>37</v>
      </c>
      <c r="I741" t="s">
        <v>35</v>
      </c>
      <c r="J741" t="s">
        <v>35</v>
      </c>
      <c r="K741" t="s">
        <v>35</v>
      </c>
      <c r="L741" t="s">
        <v>35</v>
      </c>
      <c r="M741" t="s">
        <v>35</v>
      </c>
      <c r="N741" t="s">
        <v>35</v>
      </c>
      <c r="O741" t="str">
        <f t="shared" si="24"/>
        <v>False</v>
      </c>
      <c r="P741" s="3">
        <v>17085.310000000001</v>
      </c>
      <c r="Q741" s="3">
        <v>0</v>
      </c>
      <c r="R741" s="3">
        <v>0</v>
      </c>
      <c r="S741" s="3">
        <v>3197.5069229999999</v>
      </c>
      <c r="T741" s="3">
        <v>1925.6065739999999</v>
      </c>
      <c r="U741">
        <v>0.47615290562477369</v>
      </c>
      <c r="V741" s="3">
        <v>21426.82148000001</v>
      </c>
      <c r="W741">
        <v>8.8726898997385728</v>
      </c>
      <c r="X741">
        <v>1.06718651</v>
      </c>
      <c r="Y741">
        <v>0.64268238000000011</v>
      </c>
      <c r="Z741" s="5">
        <v>0.37586646775005073</v>
      </c>
      <c r="AA741">
        <v>10.6718651</v>
      </c>
      <c r="AB741">
        <v>13.50869</v>
      </c>
      <c r="AC741">
        <v>8.1352200000000021</v>
      </c>
      <c r="AD741" s="5">
        <v>0.37586646775005078</v>
      </c>
      <c r="AE741">
        <v>135.08690000000001</v>
      </c>
      <c r="AF741">
        <v>81.352200000000025</v>
      </c>
      <c r="AG741">
        <v>6.4268237999999993</v>
      </c>
      <c r="AH741" t="str">
        <f t="shared" si="23"/>
        <v>False</v>
      </c>
      <c r="AI741">
        <v>1</v>
      </c>
    </row>
    <row r="742" spans="1:35" x14ac:dyDescent="0.35">
      <c r="A742" t="s">
        <v>852</v>
      </c>
      <c r="B742" t="s">
        <v>837</v>
      </c>
      <c r="C742" t="s">
        <v>232</v>
      </c>
      <c r="D742" t="s">
        <v>34</v>
      </c>
      <c r="E742" t="s">
        <v>52</v>
      </c>
      <c r="F742" t="s">
        <v>34</v>
      </c>
      <c r="G742" t="s">
        <v>37</v>
      </c>
      <c r="H742" t="s">
        <v>35</v>
      </c>
      <c r="I742" t="s">
        <v>37</v>
      </c>
      <c r="J742" t="s">
        <v>35</v>
      </c>
      <c r="K742" t="s">
        <v>35</v>
      </c>
      <c r="L742" t="s">
        <v>37</v>
      </c>
      <c r="M742" t="s">
        <v>35</v>
      </c>
      <c r="N742" t="s">
        <v>35</v>
      </c>
      <c r="O742" t="str">
        <f t="shared" si="24"/>
        <v>True</v>
      </c>
      <c r="P742" s="3">
        <v>25541.14</v>
      </c>
      <c r="Q742" s="3">
        <v>0</v>
      </c>
      <c r="R742" s="3">
        <v>0</v>
      </c>
      <c r="S742" s="3">
        <v>2244.4970985</v>
      </c>
      <c r="T742" s="3">
        <v>2878.6163984999998</v>
      </c>
      <c r="U742">
        <v>0.47615161265315498</v>
      </c>
      <c r="V742" s="3">
        <v>32031.18797000001</v>
      </c>
      <c r="W742">
        <v>8.8727139931909882</v>
      </c>
      <c r="X742">
        <v>0.74911394499999995</v>
      </c>
      <c r="Y742">
        <v>0.96075494500000003</v>
      </c>
      <c r="Z742" s="5">
        <v>0.56188807844793298</v>
      </c>
      <c r="AA742">
        <v>7.4911394499999986</v>
      </c>
      <c r="AB742">
        <v>9.4824549999999999</v>
      </c>
      <c r="AC742">
        <v>12.161455</v>
      </c>
      <c r="AD742" s="5">
        <v>0.56188807844793298</v>
      </c>
      <c r="AE742">
        <v>94.824550000000002</v>
      </c>
      <c r="AF742">
        <v>121.61454999999999</v>
      </c>
      <c r="AG742">
        <v>9.6075494500000005</v>
      </c>
      <c r="AH742" t="str">
        <f t="shared" si="23"/>
        <v>True</v>
      </c>
      <c r="AI742">
        <v>1</v>
      </c>
    </row>
    <row r="743" spans="1:35" x14ac:dyDescent="0.35">
      <c r="A743" t="s">
        <v>853</v>
      </c>
      <c r="B743" t="s">
        <v>854</v>
      </c>
      <c r="C743" t="s">
        <v>232</v>
      </c>
      <c r="D743" t="s">
        <v>283</v>
      </c>
      <c r="E743" t="s">
        <v>39</v>
      </c>
      <c r="F743" t="s">
        <v>283</v>
      </c>
      <c r="G743" t="s">
        <v>35</v>
      </c>
      <c r="H743" t="s">
        <v>35</v>
      </c>
      <c r="I743" t="s">
        <v>35</v>
      </c>
      <c r="J743" t="s">
        <v>35</v>
      </c>
      <c r="K743" t="s">
        <v>35</v>
      </c>
      <c r="L743" t="s">
        <v>35</v>
      </c>
      <c r="M743" t="s">
        <v>35</v>
      </c>
      <c r="N743" t="s">
        <v>35</v>
      </c>
      <c r="O743" t="str">
        <f t="shared" si="24"/>
        <v>False</v>
      </c>
      <c r="P743" s="3">
        <v>0</v>
      </c>
      <c r="Q743" s="3">
        <v>0</v>
      </c>
      <c r="R743" s="3">
        <v>0</v>
      </c>
      <c r="S743" s="3">
        <v>3137.7898799999998</v>
      </c>
      <c r="T743" s="3">
        <v>0</v>
      </c>
      <c r="U743">
        <v>0</v>
      </c>
      <c r="V743" s="3">
        <v>0</v>
      </c>
      <c r="W743">
        <v>0</v>
      </c>
      <c r="X743">
        <v>1.0472556</v>
      </c>
      <c r="Y743">
        <v>0</v>
      </c>
      <c r="Z743" s="5">
        <v>0</v>
      </c>
      <c r="AA743">
        <v>10.9089125</v>
      </c>
      <c r="AB743">
        <v>13.256399999999999</v>
      </c>
      <c r="AC743">
        <v>0</v>
      </c>
      <c r="AD743" s="5">
        <v>0</v>
      </c>
      <c r="AE743">
        <v>138.08750000000001</v>
      </c>
      <c r="AF743">
        <v>0</v>
      </c>
      <c r="AG743">
        <v>0</v>
      </c>
      <c r="AH743" t="str">
        <f t="shared" si="23"/>
        <v>False</v>
      </c>
      <c r="AI743">
        <v>0</v>
      </c>
    </row>
    <row r="744" spans="1:35" x14ac:dyDescent="0.35">
      <c r="A744" t="s">
        <v>855</v>
      </c>
      <c r="B744" t="s">
        <v>854</v>
      </c>
      <c r="C744" t="s">
        <v>232</v>
      </c>
      <c r="D744" t="s">
        <v>34</v>
      </c>
      <c r="E744" t="s">
        <v>52</v>
      </c>
      <c r="F744" t="s">
        <v>34</v>
      </c>
      <c r="G744" t="s">
        <v>37</v>
      </c>
      <c r="H744" t="s">
        <v>35</v>
      </c>
      <c r="I744" t="s">
        <v>35</v>
      </c>
      <c r="J744" t="s">
        <v>35</v>
      </c>
      <c r="K744" t="s">
        <v>35</v>
      </c>
      <c r="L744" t="s">
        <v>35</v>
      </c>
      <c r="M744" t="s">
        <v>35</v>
      </c>
      <c r="N744" t="s">
        <v>35</v>
      </c>
      <c r="O744" t="str">
        <f t="shared" si="24"/>
        <v>False</v>
      </c>
      <c r="P744" s="3">
        <v>9352.9359999999997</v>
      </c>
      <c r="Q744" s="3">
        <v>0</v>
      </c>
      <c r="R744" s="3">
        <v>0</v>
      </c>
      <c r="S744" s="3">
        <v>2452.1954310000001</v>
      </c>
      <c r="T744" s="3">
        <v>685.59444899999971</v>
      </c>
      <c r="U744">
        <v>0.30968564309645652</v>
      </c>
      <c r="V744" s="3">
        <v>4358.9529799999946</v>
      </c>
      <c r="W744">
        <v>13.642082449241069</v>
      </c>
      <c r="X744">
        <v>0.81843447000000003</v>
      </c>
      <c r="Y744">
        <v>0.2288211299999999</v>
      </c>
      <c r="Z744" s="5">
        <v>0.21849597175703811</v>
      </c>
      <c r="AA744">
        <v>8.5253590624999998</v>
      </c>
      <c r="AB744">
        <v>10.35993</v>
      </c>
      <c r="AC744">
        <v>2.896469999999999</v>
      </c>
      <c r="AD744" s="5">
        <v>0.21849597175703811</v>
      </c>
      <c r="AE744">
        <v>107.9159375</v>
      </c>
      <c r="AF744">
        <v>30.17156249999999</v>
      </c>
      <c r="AG744">
        <v>2.3835534374999998</v>
      </c>
      <c r="AH744" t="str">
        <f t="shared" si="23"/>
        <v>True</v>
      </c>
      <c r="AI744">
        <v>1</v>
      </c>
    </row>
    <row r="745" spans="1:35" x14ac:dyDescent="0.35">
      <c r="A745" t="s">
        <v>856</v>
      </c>
      <c r="B745" t="s">
        <v>854</v>
      </c>
      <c r="C745" t="s">
        <v>232</v>
      </c>
      <c r="D745" t="s">
        <v>34</v>
      </c>
      <c r="E745" t="s">
        <v>52</v>
      </c>
      <c r="F745" t="s">
        <v>34</v>
      </c>
      <c r="G745" t="s">
        <v>37</v>
      </c>
      <c r="H745" t="s">
        <v>35</v>
      </c>
      <c r="I745" t="s">
        <v>35</v>
      </c>
      <c r="J745" t="s">
        <v>35</v>
      </c>
      <c r="K745" t="s">
        <v>35</v>
      </c>
      <c r="L745" t="s">
        <v>37</v>
      </c>
      <c r="M745" t="s">
        <v>35</v>
      </c>
      <c r="N745" t="s">
        <v>35</v>
      </c>
      <c r="O745" t="str">
        <f t="shared" si="24"/>
        <v>True</v>
      </c>
      <c r="P745" s="3">
        <v>36596.06</v>
      </c>
      <c r="Q745" s="3">
        <v>0</v>
      </c>
      <c r="R745" s="3">
        <v>0</v>
      </c>
      <c r="S745" s="3">
        <v>1787.6573406</v>
      </c>
      <c r="T745" s="3">
        <v>1350.1325394</v>
      </c>
      <c r="U745">
        <v>0.1558632814570749</v>
      </c>
      <c r="V745" s="3">
        <v>-9593.4092120000059</v>
      </c>
      <c r="W745">
        <v>27.10553144379686</v>
      </c>
      <c r="X745">
        <v>0.59664102200000002</v>
      </c>
      <c r="Y745">
        <v>0.45061457799999988</v>
      </c>
      <c r="Z745" s="5">
        <v>0.4302813735252406</v>
      </c>
      <c r="AA745">
        <v>6.2150106458333338</v>
      </c>
      <c r="AB745">
        <v>7.5524180000000003</v>
      </c>
      <c r="AC745">
        <v>5.703981999999999</v>
      </c>
      <c r="AD745" s="5">
        <v>0.4302813735252406</v>
      </c>
      <c r="AE745">
        <v>78.671020833333344</v>
      </c>
      <c r="AF745">
        <v>59.416479166666647</v>
      </c>
      <c r="AG745">
        <v>4.6939018541666657</v>
      </c>
      <c r="AH745" t="str">
        <f t="shared" si="23"/>
        <v>True</v>
      </c>
      <c r="AI745">
        <v>1</v>
      </c>
    </row>
    <row r="746" spans="1:35" x14ac:dyDescent="0.35">
      <c r="A746" t="s">
        <v>857</v>
      </c>
      <c r="B746" t="s">
        <v>854</v>
      </c>
      <c r="C746" t="s">
        <v>232</v>
      </c>
      <c r="D746" t="s">
        <v>34</v>
      </c>
      <c r="E746" t="s">
        <v>52</v>
      </c>
      <c r="F746" t="s">
        <v>34</v>
      </c>
      <c r="G746" t="s">
        <v>37</v>
      </c>
      <c r="H746" t="s">
        <v>35</v>
      </c>
      <c r="I746" t="s">
        <v>35</v>
      </c>
      <c r="J746" t="s">
        <v>35</v>
      </c>
      <c r="K746" t="s">
        <v>37</v>
      </c>
      <c r="L746" t="s">
        <v>35</v>
      </c>
      <c r="M746" t="s">
        <v>35</v>
      </c>
      <c r="N746" t="s">
        <v>35</v>
      </c>
      <c r="O746" t="str">
        <f t="shared" si="24"/>
        <v>True</v>
      </c>
      <c r="P746" s="3">
        <v>19609.169999999998</v>
      </c>
      <c r="Q746" s="3">
        <v>0</v>
      </c>
      <c r="R746" s="3">
        <v>0</v>
      </c>
      <c r="S746" s="3">
        <v>2417.783985</v>
      </c>
      <c r="T746" s="3">
        <v>720.00589500000001</v>
      </c>
      <c r="U746">
        <v>0.15512385276888321</v>
      </c>
      <c r="V746" s="3">
        <v>-5209.0520999999972</v>
      </c>
      <c r="W746">
        <v>27.234735348937662</v>
      </c>
      <c r="X746">
        <v>0.80694944999999996</v>
      </c>
      <c r="Y746">
        <v>0.24030615</v>
      </c>
      <c r="Z746" s="5">
        <v>0.22946275006789171</v>
      </c>
      <c r="AA746">
        <v>8.405723437499999</v>
      </c>
      <c r="AB746">
        <v>10.214549999999999</v>
      </c>
      <c r="AC746">
        <v>3.0418500000000002</v>
      </c>
      <c r="AD746" s="5">
        <v>0.2294627500678918</v>
      </c>
      <c r="AE746">
        <v>106.4015625</v>
      </c>
      <c r="AF746">
        <v>31.685937500000001</v>
      </c>
      <c r="AG746">
        <v>2.5031890625000011</v>
      </c>
      <c r="AH746" t="str">
        <f t="shared" si="23"/>
        <v>True</v>
      </c>
      <c r="AI746">
        <v>1</v>
      </c>
    </row>
    <row r="747" spans="1:35" x14ac:dyDescent="0.35">
      <c r="A747" t="s">
        <v>858</v>
      </c>
      <c r="B747" t="s">
        <v>854</v>
      </c>
      <c r="C747" t="s">
        <v>232</v>
      </c>
      <c r="D747" t="s">
        <v>34</v>
      </c>
      <c r="E747" t="s">
        <v>52</v>
      </c>
      <c r="F747" t="s">
        <v>34</v>
      </c>
      <c r="G747" t="s">
        <v>37</v>
      </c>
      <c r="H747" t="s">
        <v>35</v>
      </c>
      <c r="I747" t="s">
        <v>35</v>
      </c>
      <c r="J747" t="s">
        <v>35</v>
      </c>
      <c r="K747" t="s">
        <v>37</v>
      </c>
      <c r="L747" t="s">
        <v>37</v>
      </c>
      <c r="M747" t="s">
        <v>35</v>
      </c>
      <c r="N747" t="s">
        <v>35</v>
      </c>
      <c r="O747" t="str">
        <f t="shared" si="24"/>
        <v>True</v>
      </c>
      <c r="P747" s="3">
        <v>46852.3</v>
      </c>
      <c r="Q747" s="3">
        <v>0</v>
      </c>
      <c r="R747" s="3">
        <v>0</v>
      </c>
      <c r="S747" s="3">
        <v>1717.4386287</v>
      </c>
      <c r="T747" s="3">
        <v>1420.3512513000001</v>
      </c>
      <c r="U747">
        <v>0.1280756547704168</v>
      </c>
      <c r="V747" s="3">
        <v>-18445.274974000011</v>
      </c>
      <c r="W747">
        <v>32.986417942123587</v>
      </c>
      <c r="X747">
        <v>0.57320511899999993</v>
      </c>
      <c r="Y747">
        <v>0.47405048100000002</v>
      </c>
      <c r="Z747" s="5">
        <v>0.45265977188376938</v>
      </c>
      <c r="AA747">
        <v>5.9708866562499994</v>
      </c>
      <c r="AB747">
        <v>7.2557609999999997</v>
      </c>
      <c r="AC747">
        <v>6.0006389999999996</v>
      </c>
      <c r="AD747" s="5">
        <v>0.45265977188376932</v>
      </c>
      <c r="AE747">
        <v>75.58084375</v>
      </c>
      <c r="AF747">
        <v>62.506656249999992</v>
      </c>
      <c r="AG747">
        <v>4.9380258437500002</v>
      </c>
      <c r="AH747" t="str">
        <f t="shared" si="23"/>
        <v>True</v>
      </c>
      <c r="AI747">
        <v>1</v>
      </c>
    </row>
    <row r="748" spans="1:35" x14ac:dyDescent="0.35">
      <c r="A748" t="s">
        <v>859</v>
      </c>
      <c r="B748" t="s">
        <v>854</v>
      </c>
      <c r="C748" t="s">
        <v>232</v>
      </c>
      <c r="D748" t="s">
        <v>34</v>
      </c>
      <c r="E748" t="s">
        <v>52</v>
      </c>
      <c r="F748" t="s">
        <v>34</v>
      </c>
      <c r="G748" t="s">
        <v>37</v>
      </c>
      <c r="H748" t="s">
        <v>35</v>
      </c>
      <c r="I748" t="s">
        <v>37</v>
      </c>
      <c r="J748" t="s">
        <v>35</v>
      </c>
      <c r="K748" t="s">
        <v>35</v>
      </c>
      <c r="L748" t="s">
        <v>35</v>
      </c>
      <c r="M748" t="s">
        <v>35</v>
      </c>
      <c r="N748" t="s">
        <v>35</v>
      </c>
      <c r="O748" t="str">
        <f t="shared" si="24"/>
        <v>True</v>
      </c>
      <c r="P748" s="3">
        <v>24595</v>
      </c>
      <c r="Q748" s="3">
        <v>0</v>
      </c>
      <c r="R748" s="3">
        <v>0</v>
      </c>
      <c r="S748" s="3">
        <v>2432.4380820000001</v>
      </c>
      <c r="T748" s="3">
        <v>705.3517979999998</v>
      </c>
      <c r="U748">
        <v>0.12116039845497049</v>
      </c>
      <c r="V748" s="3">
        <v>-10487.964040000001</v>
      </c>
      <c r="W748">
        <v>34.869124980950303</v>
      </c>
      <c r="X748">
        <v>0.81184034000000005</v>
      </c>
      <c r="Y748">
        <v>0.2354152599999999</v>
      </c>
      <c r="Z748" s="5">
        <v>0.22479255303098869</v>
      </c>
      <c r="AA748">
        <v>8.4566702083333336</v>
      </c>
      <c r="AB748">
        <v>10.27646</v>
      </c>
      <c r="AC748">
        <v>2.9799399999999991</v>
      </c>
      <c r="AD748" s="5">
        <v>0.22479255303098869</v>
      </c>
      <c r="AE748">
        <v>107.04645833333331</v>
      </c>
      <c r="AF748">
        <v>31.041041666666661</v>
      </c>
      <c r="AG748">
        <v>2.452242291666666</v>
      </c>
      <c r="AH748" t="str">
        <f t="shared" si="23"/>
        <v>True</v>
      </c>
      <c r="AI748">
        <v>1</v>
      </c>
    </row>
    <row r="749" spans="1:35" x14ac:dyDescent="0.35">
      <c r="A749" t="s">
        <v>860</v>
      </c>
      <c r="B749" t="s">
        <v>854</v>
      </c>
      <c r="C749" t="s">
        <v>232</v>
      </c>
      <c r="D749" t="s">
        <v>34</v>
      </c>
      <c r="E749" t="s">
        <v>52</v>
      </c>
      <c r="F749" t="s">
        <v>34</v>
      </c>
      <c r="G749" t="s">
        <v>35</v>
      </c>
      <c r="H749" t="s">
        <v>35</v>
      </c>
      <c r="I749" t="s">
        <v>35</v>
      </c>
      <c r="J749" t="s">
        <v>35</v>
      </c>
      <c r="K749" t="s">
        <v>35</v>
      </c>
      <c r="L749" t="s">
        <v>37</v>
      </c>
      <c r="M749" t="s">
        <v>35</v>
      </c>
      <c r="N749" t="s">
        <v>35</v>
      </c>
      <c r="O749" t="str">
        <f t="shared" si="24"/>
        <v>False</v>
      </c>
      <c r="P749" s="3">
        <v>27243.13</v>
      </c>
      <c r="Q749" s="3">
        <v>0</v>
      </c>
      <c r="R749" s="3">
        <v>0</v>
      </c>
      <c r="S749" s="3">
        <v>2412.5907870000001</v>
      </c>
      <c r="T749" s="3">
        <v>725.19909299999972</v>
      </c>
      <c r="U749">
        <v>0.1124610131067906</v>
      </c>
      <c r="V749" s="3">
        <v>-12739.14814000001</v>
      </c>
      <c r="W749">
        <v>37.566414882430102</v>
      </c>
      <c r="X749">
        <v>0.80521619</v>
      </c>
      <c r="Y749">
        <v>0.24203941000000001</v>
      </c>
      <c r="Z749" s="5">
        <v>0.23111779970429369</v>
      </c>
      <c r="AA749">
        <v>8.3876686458333332</v>
      </c>
      <c r="AB749">
        <v>10.19261</v>
      </c>
      <c r="AC749">
        <v>3.0637899999999991</v>
      </c>
      <c r="AD749" s="5">
        <v>0.23111779970429369</v>
      </c>
      <c r="AE749">
        <v>106.1730208333333</v>
      </c>
      <c r="AF749">
        <v>31.914479166666659</v>
      </c>
      <c r="AG749">
        <v>2.521243854166666</v>
      </c>
      <c r="AH749" t="str">
        <f t="shared" si="23"/>
        <v>False</v>
      </c>
      <c r="AI749">
        <v>1</v>
      </c>
    </row>
    <row r="750" spans="1:35" x14ac:dyDescent="0.35">
      <c r="A750" t="s">
        <v>861</v>
      </c>
      <c r="B750" t="s">
        <v>854</v>
      </c>
      <c r="C750" t="s">
        <v>232</v>
      </c>
      <c r="D750" t="s">
        <v>34</v>
      </c>
      <c r="E750" t="s">
        <v>52</v>
      </c>
      <c r="F750" t="s">
        <v>34</v>
      </c>
      <c r="G750" t="s">
        <v>37</v>
      </c>
      <c r="H750" t="s">
        <v>35</v>
      </c>
      <c r="I750" t="s">
        <v>37</v>
      </c>
      <c r="J750" t="s">
        <v>35</v>
      </c>
      <c r="K750" t="s">
        <v>35</v>
      </c>
      <c r="L750" t="s">
        <v>37</v>
      </c>
      <c r="M750" t="s">
        <v>35</v>
      </c>
      <c r="N750" t="s">
        <v>35</v>
      </c>
      <c r="O750" t="str">
        <f t="shared" si="24"/>
        <v>True</v>
      </c>
      <c r="P750" s="3">
        <v>51837.89</v>
      </c>
      <c r="Q750" s="3">
        <v>0</v>
      </c>
      <c r="R750" s="3">
        <v>0</v>
      </c>
      <c r="S750" s="3">
        <v>1768.7677338000001</v>
      </c>
      <c r="T750" s="3">
        <v>1369.0221462</v>
      </c>
      <c r="U750">
        <v>0.11157448731034381</v>
      </c>
      <c r="V750" s="3">
        <v>-24457.447076</v>
      </c>
      <c r="W750">
        <v>37.864902437032619</v>
      </c>
      <c r="X750">
        <v>0.59033650599999998</v>
      </c>
      <c r="Y750">
        <v>0.45691909400000003</v>
      </c>
      <c r="Z750" s="5">
        <v>0.43630140913068399</v>
      </c>
      <c r="AA750">
        <v>6.1493386041666662</v>
      </c>
      <c r="AB750">
        <v>7.4726140000000001</v>
      </c>
      <c r="AC750">
        <v>5.7837859999999992</v>
      </c>
      <c r="AD750" s="5">
        <v>0.43630140913068399</v>
      </c>
      <c r="AE750">
        <v>77.839729166666672</v>
      </c>
      <c r="AF750">
        <v>60.247770833333327</v>
      </c>
      <c r="AG750">
        <v>4.7595738958333333</v>
      </c>
      <c r="AH750" t="str">
        <f t="shared" si="23"/>
        <v>True</v>
      </c>
      <c r="AI750">
        <v>1</v>
      </c>
    </row>
    <row r="751" spans="1:35" x14ac:dyDescent="0.35">
      <c r="A751" t="s">
        <v>862</v>
      </c>
      <c r="B751" t="s">
        <v>854</v>
      </c>
      <c r="C751" t="s">
        <v>232</v>
      </c>
      <c r="D751" t="s">
        <v>34</v>
      </c>
      <c r="E751" t="s">
        <v>52</v>
      </c>
      <c r="F751" t="s">
        <v>34</v>
      </c>
      <c r="G751" t="s">
        <v>37</v>
      </c>
      <c r="H751" t="s">
        <v>35</v>
      </c>
      <c r="I751" t="s">
        <v>35</v>
      </c>
      <c r="J751" t="s">
        <v>37</v>
      </c>
      <c r="K751" t="s">
        <v>35</v>
      </c>
      <c r="L751" t="s">
        <v>35</v>
      </c>
      <c r="M751" t="s">
        <v>35</v>
      </c>
      <c r="N751" t="s">
        <v>35</v>
      </c>
      <c r="O751" t="str">
        <f t="shared" si="24"/>
        <v>True</v>
      </c>
      <c r="P751" s="3">
        <v>28059</v>
      </c>
      <c r="Q751" s="3">
        <v>0</v>
      </c>
      <c r="R751" s="3">
        <v>0</v>
      </c>
      <c r="S751" s="3">
        <v>2448.192833999999</v>
      </c>
      <c r="T751" s="3">
        <v>689.59704599999998</v>
      </c>
      <c r="U751">
        <v>0.1038305000178196</v>
      </c>
      <c r="V751" s="3">
        <v>-14267.059080000001</v>
      </c>
      <c r="W751">
        <v>40.688979401457587</v>
      </c>
      <c r="X751">
        <v>0.81709857999999991</v>
      </c>
      <c r="Y751">
        <v>0.23015701999999999</v>
      </c>
      <c r="Z751" s="5">
        <v>0.21977158202830341</v>
      </c>
      <c r="AA751">
        <v>8.5114435416666652</v>
      </c>
      <c r="AB751">
        <v>10.343019999999999</v>
      </c>
      <c r="AC751">
        <v>2.9133800000000001</v>
      </c>
      <c r="AD751" s="5">
        <v>0.2197715820283033</v>
      </c>
      <c r="AE751">
        <v>107.7397916666666</v>
      </c>
      <c r="AF751">
        <v>30.34770833333333</v>
      </c>
      <c r="AG751">
        <v>2.397468958333334</v>
      </c>
      <c r="AH751" t="str">
        <f t="shared" si="23"/>
        <v>True</v>
      </c>
      <c r="AI751">
        <v>1</v>
      </c>
    </row>
    <row r="752" spans="1:35" x14ac:dyDescent="0.35">
      <c r="A752" t="s">
        <v>863</v>
      </c>
      <c r="B752" t="s">
        <v>854</v>
      </c>
      <c r="C752" t="s">
        <v>232</v>
      </c>
      <c r="D752" t="s">
        <v>34</v>
      </c>
      <c r="E752" t="s">
        <v>52</v>
      </c>
      <c r="F752" t="s">
        <v>34</v>
      </c>
      <c r="G752" t="s">
        <v>37</v>
      </c>
      <c r="H752" t="s">
        <v>35</v>
      </c>
      <c r="I752" t="s">
        <v>35</v>
      </c>
      <c r="J752" t="s">
        <v>37</v>
      </c>
      <c r="K752" t="s">
        <v>35</v>
      </c>
      <c r="L752" t="s">
        <v>37</v>
      </c>
      <c r="M752" t="s">
        <v>35</v>
      </c>
      <c r="N752" t="s">
        <v>35</v>
      </c>
      <c r="O752" t="str">
        <f t="shared" si="24"/>
        <v>True</v>
      </c>
      <c r="P752" s="3">
        <v>55301.94</v>
      </c>
      <c r="Q752" s="3">
        <v>0</v>
      </c>
      <c r="R752" s="3">
        <v>0</v>
      </c>
      <c r="S752" s="3">
        <v>1779.9679044</v>
      </c>
      <c r="T752" s="3">
        <v>1357.8219756000001</v>
      </c>
      <c r="U752">
        <v>0.1037299595638055</v>
      </c>
      <c r="V752" s="3">
        <v>-28145.500488000009</v>
      </c>
      <c r="W752">
        <v>40.728417269548871</v>
      </c>
      <c r="X752">
        <v>0.59407462799999999</v>
      </c>
      <c r="Y752">
        <v>0.45318097200000002</v>
      </c>
      <c r="Z752" s="5">
        <v>0.43273196342898518</v>
      </c>
      <c r="AA752">
        <v>6.1882773749999993</v>
      </c>
      <c r="AB752">
        <v>7.5199319999999998</v>
      </c>
      <c r="AC752">
        <v>5.7364679999999986</v>
      </c>
      <c r="AD752" s="5">
        <v>0.43273196342898518</v>
      </c>
      <c r="AE752">
        <v>78.332624999999993</v>
      </c>
      <c r="AF752">
        <v>59.754874999999998</v>
      </c>
      <c r="AG752">
        <v>4.7206351250000003</v>
      </c>
      <c r="AH752" t="str">
        <f t="shared" si="23"/>
        <v>True</v>
      </c>
      <c r="AI752">
        <v>1</v>
      </c>
    </row>
    <row r="753" spans="1:35" x14ac:dyDescent="0.35">
      <c r="A753" t="s">
        <v>864</v>
      </c>
      <c r="B753" t="s">
        <v>854</v>
      </c>
      <c r="C753" t="s">
        <v>232</v>
      </c>
      <c r="D753" t="s">
        <v>34</v>
      </c>
      <c r="E753" t="s">
        <v>52</v>
      </c>
      <c r="F753" t="s">
        <v>34</v>
      </c>
      <c r="G753" t="s">
        <v>35</v>
      </c>
      <c r="H753" t="s">
        <v>37</v>
      </c>
      <c r="I753" t="s">
        <v>35</v>
      </c>
      <c r="J753" t="s">
        <v>35</v>
      </c>
      <c r="K753" t="s">
        <v>35</v>
      </c>
      <c r="L753" t="s">
        <v>37</v>
      </c>
      <c r="M753" t="s">
        <v>35</v>
      </c>
      <c r="N753" t="s">
        <v>35</v>
      </c>
      <c r="O753" t="str">
        <f t="shared" si="24"/>
        <v>True</v>
      </c>
      <c r="P753" s="3">
        <v>49690.17</v>
      </c>
      <c r="Q753" s="3">
        <v>0</v>
      </c>
      <c r="R753" s="3">
        <v>0</v>
      </c>
      <c r="S753" s="3">
        <v>1978.2119654999999</v>
      </c>
      <c r="T753" s="3">
        <v>1159.5779144999999</v>
      </c>
      <c r="U753">
        <v>9.8589620442031095E-2</v>
      </c>
      <c r="V753" s="3">
        <v>-26498.611710000001</v>
      </c>
      <c r="W753">
        <v>42.851945849129059</v>
      </c>
      <c r="X753">
        <v>0.66023973499999999</v>
      </c>
      <c r="Y753">
        <v>0.38701586500000001</v>
      </c>
      <c r="Z753" s="5">
        <v>0.36955244259376602</v>
      </c>
      <c r="AA753">
        <v>6.8774972395833336</v>
      </c>
      <c r="AB753">
        <v>8.3574649999999995</v>
      </c>
      <c r="AC753">
        <v>4.8989349999999998</v>
      </c>
      <c r="AD753" s="5">
        <v>0.36955244259376602</v>
      </c>
      <c r="AE753">
        <v>87.056927083333335</v>
      </c>
      <c r="AF753">
        <v>51.030572916666657</v>
      </c>
      <c r="AG753">
        <v>4.031415260416666</v>
      </c>
      <c r="AH753" t="str">
        <f t="shared" si="23"/>
        <v>False</v>
      </c>
      <c r="AI753">
        <v>1</v>
      </c>
    </row>
    <row r="754" spans="1:35" x14ac:dyDescent="0.35">
      <c r="A754" t="s">
        <v>865</v>
      </c>
      <c r="B754" t="s">
        <v>854</v>
      </c>
      <c r="C754" t="s">
        <v>232</v>
      </c>
      <c r="D754" t="s">
        <v>34</v>
      </c>
      <c r="E754" t="s">
        <v>52</v>
      </c>
      <c r="F754" t="s">
        <v>34</v>
      </c>
      <c r="G754" t="s">
        <v>37</v>
      </c>
      <c r="H754" t="s">
        <v>35</v>
      </c>
      <c r="I754" t="s">
        <v>37</v>
      </c>
      <c r="J754" t="s">
        <v>35</v>
      </c>
      <c r="K754" t="s">
        <v>37</v>
      </c>
      <c r="L754" t="s">
        <v>37</v>
      </c>
      <c r="M754" t="s">
        <v>35</v>
      </c>
      <c r="N754" t="s">
        <v>35</v>
      </c>
      <c r="O754" t="str">
        <f t="shared" si="24"/>
        <v>True</v>
      </c>
      <c r="P754" s="3">
        <v>62094.12</v>
      </c>
      <c r="Q754" s="3">
        <v>0</v>
      </c>
      <c r="R754" s="3">
        <v>0</v>
      </c>
      <c r="S754" s="3">
        <v>1696.9063239</v>
      </c>
      <c r="T754" s="3">
        <v>1440.8835561000001</v>
      </c>
      <c r="U754">
        <v>9.8034773662949007E-2</v>
      </c>
      <c r="V754" s="3">
        <v>-33276.44887800001</v>
      </c>
      <c r="W754">
        <v>43.094474731926617</v>
      </c>
      <c r="X754">
        <v>0.56635234300000004</v>
      </c>
      <c r="Y754">
        <v>0.48090325699999992</v>
      </c>
      <c r="Z754" s="5">
        <v>0.45920332820373549</v>
      </c>
      <c r="AA754">
        <v>5.8995035729166672</v>
      </c>
      <c r="AB754">
        <v>7.1690170000000002</v>
      </c>
      <c r="AC754">
        <v>6.0873829999999991</v>
      </c>
      <c r="AD754" s="5">
        <v>0.45920332820373549</v>
      </c>
      <c r="AE754">
        <v>74.67726041666667</v>
      </c>
      <c r="AF754">
        <v>63.410239583333322</v>
      </c>
      <c r="AG754">
        <v>5.0094089270833324</v>
      </c>
      <c r="AH754" t="str">
        <f t="shared" si="23"/>
        <v>True</v>
      </c>
      <c r="AI754">
        <v>1</v>
      </c>
    </row>
    <row r="755" spans="1:35" x14ac:dyDescent="0.35">
      <c r="A755" t="s">
        <v>866</v>
      </c>
      <c r="B755" t="s">
        <v>854</v>
      </c>
      <c r="C755" t="s">
        <v>232</v>
      </c>
      <c r="D755" t="s">
        <v>34</v>
      </c>
      <c r="E755" t="s">
        <v>52</v>
      </c>
      <c r="F755" t="s">
        <v>34</v>
      </c>
      <c r="G755" t="s">
        <v>37</v>
      </c>
      <c r="H755" t="s">
        <v>35</v>
      </c>
      <c r="I755" t="s">
        <v>35</v>
      </c>
      <c r="J755" t="s">
        <v>37</v>
      </c>
      <c r="K755" t="s">
        <v>37</v>
      </c>
      <c r="L755" t="s">
        <v>37</v>
      </c>
      <c r="M755" t="s">
        <v>35</v>
      </c>
      <c r="N755" t="s">
        <v>35</v>
      </c>
      <c r="O755" t="str">
        <f t="shared" si="24"/>
        <v>True</v>
      </c>
      <c r="P755" s="3">
        <v>65558.17</v>
      </c>
      <c r="Q755" s="3">
        <v>0</v>
      </c>
      <c r="R755" s="3">
        <v>0</v>
      </c>
      <c r="S755" s="3">
        <v>1703.3448006000001</v>
      </c>
      <c r="T755" s="3">
        <v>1434.4450793999999</v>
      </c>
      <c r="U755">
        <v>9.2439767614013596E-2</v>
      </c>
      <c r="V755" s="3">
        <v>-36869.268411999998</v>
      </c>
      <c r="W755">
        <v>45.70280935915769</v>
      </c>
      <c r="X755">
        <v>0.56850122199999997</v>
      </c>
      <c r="Y755">
        <v>0.47875437799999998</v>
      </c>
      <c r="Z755" s="5">
        <v>0.45715141365679968</v>
      </c>
      <c r="AA755">
        <v>5.9218877291666674</v>
      </c>
      <c r="AB755">
        <v>7.196218</v>
      </c>
      <c r="AC755">
        <v>6.0601819999999993</v>
      </c>
      <c r="AD755" s="5">
        <v>0.45715141365679968</v>
      </c>
      <c r="AE755">
        <v>74.96060416666667</v>
      </c>
      <c r="AF755">
        <v>63.126895833333322</v>
      </c>
      <c r="AG755">
        <v>4.9870247708333331</v>
      </c>
      <c r="AH755" t="str">
        <f t="shared" si="23"/>
        <v>True</v>
      </c>
      <c r="AI755">
        <v>1</v>
      </c>
    </row>
    <row r="756" spans="1:35" x14ac:dyDescent="0.35">
      <c r="A756" t="s">
        <v>867</v>
      </c>
      <c r="B756" t="s">
        <v>854</v>
      </c>
      <c r="C756" t="s">
        <v>232</v>
      </c>
      <c r="D756" t="s">
        <v>34</v>
      </c>
      <c r="E756" t="s">
        <v>52</v>
      </c>
      <c r="F756" t="s">
        <v>34</v>
      </c>
      <c r="G756" t="s">
        <v>37</v>
      </c>
      <c r="H756" t="s">
        <v>35</v>
      </c>
      <c r="I756" t="s">
        <v>37</v>
      </c>
      <c r="J756" t="s">
        <v>35</v>
      </c>
      <c r="K756" t="s">
        <v>37</v>
      </c>
      <c r="L756" t="s">
        <v>35</v>
      </c>
      <c r="M756" t="s">
        <v>35</v>
      </c>
      <c r="N756" t="s">
        <v>35</v>
      </c>
      <c r="O756" t="str">
        <f t="shared" si="24"/>
        <v>True</v>
      </c>
      <c r="P756" s="3">
        <v>34850.994465401338</v>
      </c>
      <c r="Q756" s="3">
        <v>0</v>
      </c>
      <c r="R756" s="3">
        <v>0</v>
      </c>
      <c r="S756" s="3">
        <v>2396.8384019999999</v>
      </c>
      <c r="T756" s="3">
        <v>740.95147799999961</v>
      </c>
      <c r="U756">
        <v>8.9820679381406796E-2</v>
      </c>
      <c r="V756" s="3">
        <v>-20031.96490540135</v>
      </c>
      <c r="W756">
        <v>47.035461160658294</v>
      </c>
      <c r="X756">
        <v>0.79995874000000011</v>
      </c>
      <c r="Y756">
        <v>0.24729685999999981</v>
      </c>
      <c r="Z756" s="5">
        <v>0.23613801635436449</v>
      </c>
      <c r="AA756">
        <v>8.3329035416666688</v>
      </c>
      <c r="AB756">
        <v>10.126060000000001</v>
      </c>
      <c r="AC756">
        <v>3.130339999999999</v>
      </c>
      <c r="AD756" s="5">
        <v>0.2361380163543646</v>
      </c>
      <c r="AE756">
        <v>105.4797916666667</v>
      </c>
      <c r="AF756">
        <v>32.607708333333321</v>
      </c>
      <c r="AG756">
        <v>2.5760089583333312</v>
      </c>
      <c r="AH756" t="str">
        <f t="shared" si="23"/>
        <v>True</v>
      </c>
      <c r="AI756">
        <v>1</v>
      </c>
    </row>
    <row r="757" spans="1:35" x14ac:dyDescent="0.35">
      <c r="A757" t="s">
        <v>868</v>
      </c>
      <c r="B757" t="s">
        <v>854</v>
      </c>
      <c r="C757" t="s">
        <v>232</v>
      </c>
      <c r="D757" t="s">
        <v>34</v>
      </c>
      <c r="E757" t="s">
        <v>52</v>
      </c>
      <c r="F757" t="s">
        <v>34</v>
      </c>
      <c r="G757" t="s">
        <v>35</v>
      </c>
      <c r="H757" t="s">
        <v>37</v>
      </c>
      <c r="I757" t="s">
        <v>35</v>
      </c>
      <c r="J757" t="s">
        <v>35</v>
      </c>
      <c r="K757" t="s">
        <v>37</v>
      </c>
      <c r="L757" t="s">
        <v>37</v>
      </c>
      <c r="M757" t="s">
        <v>35</v>
      </c>
      <c r="N757" t="s">
        <v>35</v>
      </c>
      <c r="O757" t="str">
        <f t="shared" si="24"/>
        <v>True</v>
      </c>
      <c r="P757" s="3">
        <v>59946.41</v>
      </c>
      <c r="Q757" s="3">
        <v>0</v>
      </c>
      <c r="R757" s="3">
        <v>0</v>
      </c>
      <c r="S757" s="3">
        <v>1864.3732308000001</v>
      </c>
      <c r="T757" s="3">
        <v>1273.4166491999999</v>
      </c>
      <c r="U757">
        <v>8.9744757025483193E-2</v>
      </c>
      <c r="V757" s="3">
        <v>-34478.07701600001</v>
      </c>
      <c r="W757">
        <v>47.075252265360447</v>
      </c>
      <c r="X757">
        <v>0.62224539599999995</v>
      </c>
      <c r="Y757">
        <v>0.425010204</v>
      </c>
      <c r="Z757" s="5">
        <v>0.40583235267493439</v>
      </c>
      <c r="AA757">
        <v>6.4817228749999991</v>
      </c>
      <c r="AB757">
        <v>7.8765239999999999</v>
      </c>
      <c r="AC757">
        <v>5.3798759999999994</v>
      </c>
      <c r="AD757" s="5">
        <v>0.40583235267493428</v>
      </c>
      <c r="AE757">
        <v>82.047124999999994</v>
      </c>
      <c r="AF757">
        <v>56.04037499999999</v>
      </c>
      <c r="AG757">
        <v>4.4271896249999996</v>
      </c>
      <c r="AH757" t="str">
        <f t="shared" si="23"/>
        <v>False</v>
      </c>
      <c r="AI757">
        <v>1</v>
      </c>
    </row>
    <row r="758" spans="1:35" x14ac:dyDescent="0.35">
      <c r="A758" t="s">
        <v>869</v>
      </c>
      <c r="B758" t="s">
        <v>854</v>
      </c>
      <c r="C758" t="s">
        <v>232</v>
      </c>
      <c r="D758" t="s">
        <v>34</v>
      </c>
      <c r="E758" t="s">
        <v>52</v>
      </c>
      <c r="F758" t="s">
        <v>34</v>
      </c>
      <c r="G758" t="s">
        <v>37</v>
      </c>
      <c r="H758" t="s">
        <v>35</v>
      </c>
      <c r="I758" t="s">
        <v>35</v>
      </c>
      <c r="J758" t="s">
        <v>35</v>
      </c>
      <c r="K758" t="s">
        <v>35</v>
      </c>
      <c r="L758" t="s">
        <v>37</v>
      </c>
      <c r="M758" t="s">
        <v>37</v>
      </c>
      <c r="N758" t="s">
        <v>35</v>
      </c>
      <c r="O758" t="str">
        <f t="shared" si="24"/>
        <v>True</v>
      </c>
      <c r="P758" s="3">
        <v>50441.98</v>
      </c>
      <c r="Q758" s="3">
        <v>0</v>
      </c>
      <c r="R758" s="3">
        <v>0</v>
      </c>
      <c r="S758" s="3">
        <v>2072.6439039000002</v>
      </c>
      <c r="T758" s="3">
        <v>1065.1459761000001</v>
      </c>
      <c r="U758">
        <v>8.9211069827155806E-2</v>
      </c>
      <c r="V758" s="3">
        <v>-29139.06047800001</v>
      </c>
      <c r="W758">
        <v>47.3568704495245</v>
      </c>
      <c r="X758">
        <v>0.69175694300000012</v>
      </c>
      <c r="Y758">
        <v>0.35549865699999977</v>
      </c>
      <c r="Z758" s="5">
        <v>0.33945739416432802</v>
      </c>
      <c r="AA758">
        <v>7.205801489583334</v>
      </c>
      <c r="AB758">
        <v>8.7564170000000008</v>
      </c>
      <c r="AC758">
        <v>4.4999829999999994</v>
      </c>
      <c r="AD758" s="5">
        <v>0.33945739416432807</v>
      </c>
      <c r="AE758">
        <v>91.212677083333361</v>
      </c>
      <c r="AF758">
        <v>46.874822916666652</v>
      </c>
      <c r="AG758">
        <v>3.703111010416666</v>
      </c>
      <c r="AH758" t="str">
        <f t="shared" si="23"/>
        <v>True</v>
      </c>
      <c r="AI758">
        <v>1</v>
      </c>
    </row>
    <row r="759" spans="1:35" x14ac:dyDescent="0.35">
      <c r="A759" t="s">
        <v>870</v>
      </c>
      <c r="B759" t="s">
        <v>871</v>
      </c>
      <c r="C759" t="s">
        <v>33</v>
      </c>
      <c r="D759" t="s">
        <v>52</v>
      </c>
      <c r="E759" t="s">
        <v>77</v>
      </c>
      <c r="F759" t="s">
        <v>52</v>
      </c>
      <c r="G759" t="s">
        <v>35</v>
      </c>
      <c r="H759" t="s">
        <v>35</v>
      </c>
      <c r="I759" t="s">
        <v>35</v>
      </c>
      <c r="J759" t="s">
        <v>35</v>
      </c>
      <c r="K759" t="s">
        <v>35</v>
      </c>
      <c r="L759" t="s">
        <v>35</v>
      </c>
      <c r="M759" t="s">
        <v>35</v>
      </c>
      <c r="N759" t="s">
        <v>35</v>
      </c>
      <c r="O759" t="str">
        <f t="shared" si="24"/>
        <v>False</v>
      </c>
      <c r="P759" s="3">
        <v>0</v>
      </c>
      <c r="Q759" s="3">
        <v>0</v>
      </c>
      <c r="R759" s="3">
        <v>0</v>
      </c>
      <c r="S759" s="3">
        <v>1147.1731175723071</v>
      </c>
      <c r="T759" s="3">
        <v>0</v>
      </c>
      <c r="U759">
        <v>0</v>
      </c>
      <c r="V759" s="3">
        <v>0</v>
      </c>
      <c r="W759">
        <v>0</v>
      </c>
      <c r="X759">
        <v>0.38287569196540872</v>
      </c>
      <c r="Y759">
        <v>0</v>
      </c>
      <c r="Z759" s="5">
        <v>0</v>
      </c>
      <c r="AA759">
        <v>2.815262440922123</v>
      </c>
      <c r="AB759">
        <v>4.8465277463975784</v>
      </c>
      <c r="AC759">
        <v>0</v>
      </c>
      <c r="AD759" s="5">
        <v>0</v>
      </c>
      <c r="AE759">
        <v>35.636233429393947</v>
      </c>
      <c r="AF759">
        <v>0</v>
      </c>
      <c r="AG759">
        <v>4.4408920985006262E-16</v>
      </c>
      <c r="AH759" t="str">
        <f t="shared" si="23"/>
        <v>False</v>
      </c>
      <c r="AI759">
        <v>0</v>
      </c>
    </row>
    <row r="760" spans="1:35" x14ac:dyDescent="0.35">
      <c r="A760" t="s">
        <v>872</v>
      </c>
      <c r="B760" t="s">
        <v>871</v>
      </c>
      <c r="C760" t="s">
        <v>33</v>
      </c>
      <c r="D760" t="s">
        <v>52</v>
      </c>
      <c r="E760" t="s">
        <v>77</v>
      </c>
      <c r="F760" t="s">
        <v>52</v>
      </c>
      <c r="G760" t="s">
        <v>37</v>
      </c>
      <c r="H760" t="s">
        <v>35</v>
      </c>
      <c r="I760" t="s">
        <v>35</v>
      </c>
      <c r="J760" t="s">
        <v>35</v>
      </c>
      <c r="K760" t="s">
        <v>35</v>
      </c>
      <c r="L760" t="s">
        <v>35</v>
      </c>
      <c r="M760" t="s">
        <v>35</v>
      </c>
      <c r="N760" t="s">
        <v>35</v>
      </c>
      <c r="O760" t="str">
        <f t="shared" si="24"/>
        <v>False</v>
      </c>
      <c r="P760" s="3">
        <v>6953.9429554892286</v>
      </c>
      <c r="Q760" s="3">
        <v>0</v>
      </c>
      <c r="R760" s="3">
        <v>0</v>
      </c>
      <c r="S760" s="3">
        <v>826.62078930427219</v>
      </c>
      <c r="T760" s="3">
        <v>320.55232826803461</v>
      </c>
      <c r="U760">
        <v>0.19474645189024711</v>
      </c>
      <c r="V760" s="3">
        <v>-542.89639012853695</v>
      </c>
      <c r="W760">
        <v>21.6936279735101</v>
      </c>
      <c r="X760">
        <v>0.27588949030434101</v>
      </c>
      <c r="Y760">
        <v>0.1069862016610678</v>
      </c>
      <c r="Z760" s="5">
        <v>0.27942803344834322</v>
      </c>
      <c r="AA760">
        <v>2.028599193414272</v>
      </c>
      <c r="AB760">
        <v>3.4922720291688729</v>
      </c>
      <c r="AC760">
        <v>1.354255717228706</v>
      </c>
      <c r="AD760" s="5">
        <v>0.2794280334483431</v>
      </c>
      <c r="AE760">
        <v>25.678470802712301</v>
      </c>
      <c r="AF760">
        <v>9.9577626266816583</v>
      </c>
      <c r="AG760">
        <v>0.78666324750785144</v>
      </c>
      <c r="AH760" t="str">
        <f t="shared" si="23"/>
        <v>True</v>
      </c>
      <c r="AI760">
        <v>1</v>
      </c>
    </row>
    <row r="761" spans="1:35" x14ac:dyDescent="0.35">
      <c r="A761" t="s">
        <v>873</v>
      </c>
      <c r="B761" t="s">
        <v>871</v>
      </c>
      <c r="C761" t="s">
        <v>33</v>
      </c>
      <c r="D761" t="s">
        <v>52</v>
      </c>
      <c r="E761" t="s">
        <v>77</v>
      </c>
      <c r="F761" t="s">
        <v>52</v>
      </c>
      <c r="G761" t="s">
        <v>37</v>
      </c>
      <c r="H761" t="s">
        <v>35</v>
      </c>
      <c r="I761" t="s">
        <v>35</v>
      </c>
      <c r="J761" t="s">
        <v>35</v>
      </c>
      <c r="K761" t="s">
        <v>37</v>
      </c>
      <c r="L761" t="s">
        <v>35</v>
      </c>
      <c r="M761" t="s">
        <v>35</v>
      </c>
      <c r="N761" t="s">
        <v>35</v>
      </c>
      <c r="O761" t="str">
        <f t="shared" si="24"/>
        <v>True</v>
      </c>
      <c r="P761" s="3">
        <v>11111.98651718771</v>
      </c>
      <c r="Q761" s="3">
        <v>0</v>
      </c>
      <c r="R761" s="3">
        <v>0</v>
      </c>
      <c r="S761" s="3">
        <v>790.70519124104055</v>
      </c>
      <c r="T761" s="3">
        <v>356.46792633126609</v>
      </c>
      <c r="U761">
        <v>0.13552845766798791</v>
      </c>
      <c r="V761" s="3">
        <v>-3982.6279905623869</v>
      </c>
      <c r="W761">
        <v>31.172472181582261</v>
      </c>
      <c r="X761">
        <v>0.26390245081555652</v>
      </c>
      <c r="Y761">
        <v>0.11897324114985219</v>
      </c>
      <c r="Z761" s="5">
        <v>0.31073594810662719</v>
      </c>
      <c r="AA761">
        <v>1.940459197173209</v>
      </c>
      <c r="AB761">
        <v>3.3405373520956512</v>
      </c>
      <c r="AC761">
        <v>1.505990394301927</v>
      </c>
      <c r="AD761" s="5">
        <v>0.3107359481066273</v>
      </c>
      <c r="AE761">
        <v>24.56277464776214</v>
      </c>
      <c r="AF761">
        <v>11.073458781631819</v>
      </c>
      <c r="AG761">
        <v>0.87480324374891372</v>
      </c>
      <c r="AH761" t="str">
        <f t="shared" si="23"/>
        <v>True</v>
      </c>
      <c r="AI761">
        <v>1</v>
      </c>
    </row>
    <row r="762" spans="1:35" x14ac:dyDescent="0.35">
      <c r="A762" t="s">
        <v>874</v>
      </c>
      <c r="B762" t="s">
        <v>871</v>
      </c>
      <c r="C762" t="s">
        <v>33</v>
      </c>
      <c r="D762" t="s">
        <v>52</v>
      </c>
      <c r="E762" t="s">
        <v>77</v>
      </c>
      <c r="F762" t="s">
        <v>52</v>
      </c>
      <c r="G762" t="s">
        <v>37</v>
      </c>
      <c r="H762" t="s">
        <v>35</v>
      </c>
      <c r="I762" t="s">
        <v>35</v>
      </c>
      <c r="J762" t="s">
        <v>35</v>
      </c>
      <c r="K762" t="s">
        <v>35</v>
      </c>
      <c r="L762" t="s">
        <v>37</v>
      </c>
      <c r="M762" t="s">
        <v>35</v>
      </c>
      <c r="N762" t="s">
        <v>35</v>
      </c>
      <c r="O762" t="str">
        <f t="shared" si="24"/>
        <v>True</v>
      </c>
      <c r="P762" s="3">
        <v>17998.74616625081</v>
      </c>
      <c r="Q762" s="3">
        <v>0</v>
      </c>
      <c r="R762" s="3">
        <v>0</v>
      </c>
      <c r="S762" s="3">
        <v>626.81720491322744</v>
      </c>
      <c r="T762" s="3">
        <v>520.35591265907931</v>
      </c>
      <c r="U762">
        <v>0.1221405815706546</v>
      </c>
      <c r="V762" s="3">
        <v>-7591.6279130692237</v>
      </c>
      <c r="W762">
        <v>34.589298840240183</v>
      </c>
      <c r="X762">
        <v>0.2092038833466201</v>
      </c>
      <c r="Y762">
        <v>0.17367180861878859</v>
      </c>
      <c r="Z762" s="5">
        <v>0.45359841918216942</v>
      </c>
      <c r="AA762">
        <v>1.538263848136912</v>
      </c>
      <c r="AB762">
        <v>2.648150422109115</v>
      </c>
      <c r="AC762">
        <v>2.198377324288463</v>
      </c>
      <c r="AD762" s="5">
        <v>0.45359841918216942</v>
      </c>
      <c r="AE762">
        <v>19.471694280214081</v>
      </c>
      <c r="AF762">
        <v>16.16453914917988</v>
      </c>
      <c r="AG762">
        <v>1.276998592785211</v>
      </c>
      <c r="AH762" t="str">
        <f t="shared" si="23"/>
        <v>True</v>
      </c>
      <c r="AI762">
        <v>1</v>
      </c>
    </row>
    <row r="763" spans="1:35" x14ac:dyDescent="0.35">
      <c r="A763" t="s">
        <v>875</v>
      </c>
      <c r="B763" t="s">
        <v>871</v>
      </c>
      <c r="C763" t="s">
        <v>33</v>
      </c>
      <c r="D763" t="s">
        <v>52</v>
      </c>
      <c r="E763" t="s">
        <v>77</v>
      </c>
      <c r="F763" t="s">
        <v>52</v>
      </c>
      <c r="G763" t="s">
        <v>37</v>
      </c>
      <c r="H763" t="s">
        <v>35</v>
      </c>
      <c r="I763" t="s">
        <v>35</v>
      </c>
      <c r="J763" t="s">
        <v>35</v>
      </c>
      <c r="K763" t="s">
        <v>37</v>
      </c>
      <c r="L763" t="s">
        <v>37</v>
      </c>
      <c r="M763" t="s">
        <v>35</v>
      </c>
      <c r="N763" t="s">
        <v>35</v>
      </c>
      <c r="O763" t="str">
        <f t="shared" si="24"/>
        <v>True</v>
      </c>
      <c r="P763" s="3">
        <v>22156.78972794929</v>
      </c>
      <c r="Q763" s="3">
        <v>0</v>
      </c>
      <c r="R763" s="3">
        <v>0</v>
      </c>
      <c r="S763" s="3">
        <v>592.22705521488388</v>
      </c>
      <c r="T763" s="3">
        <v>554.94606235742287</v>
      </c>
      <c r="U763">
        <v>0.105814620835851</v>
      </c>
      <c r="V763" s="3">
        <v>-11057.868480800829</v>
      </c>
      <c r="W763">
        <v>39.926023862259278</v>
      </c>
      <c r="X763">
        <v>0.1976592199492008</v>
      </c>
      <c r="Y763">
        <v>0.18521647201620789</v>
      </c>
      <c r="Z763" s="5">
        <v>0.48375092987867568</v>
      </c>
      <c r="AA763">
        <v>1.4533766172735361</v>
      </c>
      <c r="AB763">
        <v>2.502015442394947</v>
      </c>
      <c r="AC763">
        <v>2.344512304002631</v>
      </c>
      <c r="AD763" s="5">
        <v>0.48375092987867568</v>
      </c>
      <c r="AE763">
        <v>18.397172370551079</v>
      </c>
      <c r="AF763">
        <v>17.239061058842879</v>
      </c>
      <c r="AG763">
        <v>1.3618858236485869</v>
      </c>
      <c r="AH763" t="str">
        <f t="shared" si="23"/>
        <v>True</v>
      </c>
      <c r="AI763">
        <v>1</v>
      </c>
    </row>
    <row r="764" spans="1:35" x14ac:dyDescent="0.35">
      <c r="A764" t="s">
        <v>876</v>
      </c>
      <c r="B764" t="s">
        <v>871</v>
      </c>
      <c r="C764" t="s">
        <v>33</v>
      </c>
      <c r="D764" t="s">
        <v>52</v>
      </c>
      <c r="E764" t="s">
        <v>77</v>
      </c>
      <c r="F764" t="s">
        <v>52</v>
      </c>
      <c r="G764" t="s">
        <v>35</v>
      </c>
      <c r="H764" t="s">
        <v>35</v>
      </c>
      <c r="I764" t="s">
        <v>35</v>
      </c>
      <c r="J764" t="s">
        <v>35</v>
      </c>
      <c r="K764" t="s">
        <v>35</v>
      </c>
      <c r="L764" t="s">
        <v>37</v>
      </c>
      <c r="M764" t="s">
        <v>35</v>
      </c>
      <c r="N764" t="s">
        <v>35</v>
      </c>
      <c r="O764" t="str">
        <f t="shared" si="24"/>
        <v>False</v>
      </c>
      <c r="P764" s="3">
        <v>11044.80321076158</v>
      </c>
      <c r="Q764" s="3">
        <v>0</v>
      </c>
      <c r="R764" s="3">
        <v>0</v>
      </c>
      <c r="S764" s="3">
        <v>908.44390183974576</v>
      </c>
      <c r="T764" s="3">
        <v>238.72921573256099</v>
      </c>
      <c r="U764">
        <v>9.1316515494192493E-2</v>
      </c>
      <c r="V764" s="3">
        <v>-6270.2188961103602</v>
      </c>
      <c r="W764">
        <v>46.264983432671443</v>
      </c>
      <c r="X764">
        <v>0.30319842942686909</v>
      </c>
      <c r="Y764">
        <v>7.9677262538539503E-2</v>
      </c>
      <c r="Z764" s="5">
        <v>0.20810217052311089</v>
      </c>
      <c r="AA764">
        <v>2.2294002163740378</v>
      </c>
      <c r="AB764">
        <v>3.8379548028717609</v>
      </c>
      <c r="AC764">
        <v>1.0085729435258179</v>
      </c>
      <c r="AD764" s="5">
        <v>0.20810217052311089</v>
      </c>
      <c r="AE764">
        <v>28.220255903468829</v>
      </c>
      <c r="AF764">
        <v>7.415977525925129</v>
      </c>
      <c r="AG764">
        <v>0.58586222454808512</v>
      </c>
      <c r="AH764" t="str">
        <f t="shared" si="23"/>
        <v>False</v>
      </c>
      <c r="AI764">
        <v>1</v>
      </c>
    </row>
    <row r="765" spans="1:35" x14ac:dyDescent="0.35">
      <c r="A765" t="s">
        <v>877</v>
      </c>
      <c r="B765" t="s">
        <v>871</v>
      </c>
      <c r="C765" t="s">
        <v>33</v>
      </c>
      <c r="D765" t="s">
        <v>52</v>
      </c>
      <c r="E765" t="s">
        <v>77</v>
      </c>
      <c r="F765" t="s">
        <v>52</v>
      </c>
      <c r="G765" t="s">
        <v>35</v>
      </c>
      <c r="H765" t="s">
        <v>37</v>
      </c>
      <c r="I765" t="s">
        <v>35</v>
      </c>
      <c r="J765" t="s">
        <v>35</v>
      </c>
      <c r="K765" t="s">
        <v>35</v>
      </c>
      <c r="L765" t="s">
        <v>35</v>
      </c>
      <c r="M765" t="s">
        <v>35</v>
      </c>
      <c r="N765" t="s">
        <v>35</v>
      </c>
      <c r="O765" t="str">
        <f t="shared" si="24"/>
        <v>False</v>
      </c>
      <c r="P765" s="3">
        <v>16689.463093174149</v>
      </c>
      <c r="Q765" s="3">
        <v>0</v>
      </c>
      <c r="R765" s="3">
        <v>0</v>
      </c>
      <c r="S765" s="3">
        <v>821.02934653999296</v>
      </c>
      <c r="T765" s="3">
        <v>326.14377103231391</v>
      </c>
      <c r="U765">
        <v>8.2559768215569498E-2</v>
      </c>
      <c r="V765" s="3">
        <v>-10166.58767252787</v>
      </c>
      <c r="W765">
        <v>51.172104377000601</v>
      </c>
      <c r="X765">
        <v>0.27402331380084261</v>
      </c>
      <c r="Y765">
        <v>0.1088523781645661</v>
      </c>
      <c r="Z765" s="5">
        <v>0.28430213891562611</v>
      </c>
      <c r="AA765">
        <v>2.0148773073591371</v>
      </c>
      <c r="AB765">
        <v>3.4686495417828178</v>
      </c>
      <c r="AC765">
        <v>1.3778782046147611</v>
      </c>
      <c r="AD765" s="5">
        <v>0.28430213891562611</v>
      </c>
      <c r="AE765">
        <v>25.504776042520721</v>
      </c>
      <c r="AF765">
        <v>10.13145738687324</v>
      </c>
      <c r="AG765">
        <v>0.80038513356298591</v>
      </c>
      <c r="AH765" t="str">
        <f t="shared" si="23"/>
        <v>False</v>
      </c>
      <c r="AI765">
        <v>1</v>
      </c>
    </row>
    <row r="766" spans="1:35" x14ac:dyDescent="0.35">
      <c r="A766" t="s">
        <v>878</v>
      </c>
      <c r="B766" t="s">
        <v>871</v>
      </c>
      <c r="C766" t="s">
        <v>33</v>
      </c>
      <c r="D766" t="s">
        <v>52</v>
      </c>
      <c r="E766" t="s">
        <v>77</v>
      </c>
      <c r="F766" t="s">
        <v>52</v>
      </c>
      <c r="G766" t="s">
        <v>35</v>
      </c>
      <c r="H766" t="s">
        <v>37</v>
      </c>
      <c r="I766" t="s">
        <v>35</v>
      </c>
      <c r="J766" t="s">
        <v>35</v>
      </c>
      <c r="K766" t="s">
        <v>35</v>
      </c>
      <c r="L766" t="s">
        <v>37</v>
      </c>
      <c r="M766" t="s">
        <v>35</v>
      </c>
      <c r="N766" t="s">
        <v>35</v>
      </c>
      <c r="O766" t="str">
        <f t="shared" si="24"/>
        <v>True</v>
      </c>
      <c r="P766" s="3">
        <v>27734.266303935729</v>
      </c>
      <c r="Q766" s="3">
        <v>0</v>
      </c>
      <c r="R766" s="3">
        <v>0</v>
      </c>
      <c r="S766" s="3">
        <v>612.30344957497141</v>
      </c>
      <c r="T766" s="3">
        <v>534.86966799733534</v>
      </c>
      <c r="U766">
        <v>8.1476624984278601E-2</v>
      </c>
      <c r="V766" s="3">
        <v>-17036.872943989019</v>
      </c>
      <c r="W766">
        <v>51.85238192283115</v>
      </c>
      <c r="X766">
        <v>0.2043598331914776</v>
      </c>
      <c r="Y766">
        <v>0.17851585877393111</v>
      </c>
      <c r="Z766" s="5">
        <v>0.46625017602334312</v>
      </c>
      <c r="AA766">
        <v>1.502645832290276</v>
      </c>
      <c r="AB766">
        <v>2.586833331537691</v>
      </c>
      <c r="AC766">
        <v>2.259694414859887</v>
      </c>
      <c r="AD766" s="5">
        <v>0.46625017602334312</v>
      </c>
      <c r="AE766">
        <v>19.02083332013008</v>
      </c>
      <c r="AF766">
        <v>16.615400109263881</v>
      </c>
      <c r="AG766">
        <v>1.312616608631846</v>
      </c>
      <c r="AH766" t="str">
        <f t="shared" si="23"/>
        <v>False</v>
      </c>
      <c r="AI766">
        <v>1</v>
      </c>
    </row>
    <row r="767" spans="1:35" x14ac:dyDescent="0.35">
      <c r="A767" t="s">
        <v>879</v>
      </c>
      <c r="B767" t="s">
        <v>871</v>
      </c>
      <c r="C767" t="s">
        <v>33</v>
      </c>
      <c r="D767" t="s">
        <v>52</v>
      </c>
      <c r="E767" t="s">
        <v>77</v>
      </c>
      <c r="F767" t="s">
        <v>52</v>
      </c>
      <c r="G767" t="s">
        <v>35</v>
      </c>
      <c r="H767" t="s">
        <v>35</v>
      </c>
      <c r="I767" t="s">
        <v>35</v>
      </c>
      <c r="J767" t="s">
        <v>35</v>
      </c>
      <c r="K767" t="s">
        <v>37</v>
      </c>
      <c r="L767" t="s">
        <v>37</v>
      </c>
      <c r="M767" t="s">
        <v>35</v>
      </c>
      <c r="N767" t="s">
        <v>35</v>
      </c>
      <c r="O767" t="str">
        <f t="shared" si="24"/>
        <v>True</v>
      </c>
      <c r="P767" s="3">
        <v>15202.84677246006</v>
      </c>
      <c r="Q767" s="3">
        <v>0</v>
      </c>
      <c r="R767" s="3">
        <v>0</v>
      </c>
      <c r="S767" s="3">
        <v>871.52195583465368</v>
      </c>
      <c r="T767" s="3">
        <v>275.65116173765313</v>
      </c>
      <c r="U767">
        <v>7.6601390096057598E-2</v>
      </c>
      <c r="V767" s="3">
        <v>-9689.8235377069977</v>
      </c>
      <c r="W767">
        <v>55.152485759987997</v>
      </c>
      <c r="X767">
        <v>0.2908755154665722</v>
      </c>
      <c r="Y767">
        <v>9.2000176498836503E-2</v>
      </c>
      <c r="Z767" s="5">
        <v>0.24028732674715839</v>
      </c>
      <c r="AA767">
        <v>2.138790554901266</v>
      </c>
      <c r="AB767">
        <v>3.681968550209775</v>
      </c>
      <c r="AC767">
        <v>1.164559196187803</v>
      </c>
      <c r="AD767" s="5">
        <v>0.24028732674715819</v>
      </c>
      <c r="AE767">
        <v>27.073298163307172</v>
      </c>
      <c r="AF767">
        <v>8.5629352660867912</v>
      </c>
      <c r="AG767">
        <v>0.67647188602085651</v>
      </c>
      <c r="AH767" t="str">
        <f t="shared" si="23"/>
        <v>False</v>
      </c>
      <c r="AI767">
        <v>1</v>
      </c>
    </row>
    <row r="768" spans="1:35" x14ac:dyDescent="0.35">
      <c r="A768" t="s">
        <v>880</v>
      </c>
      <c r="B768" t="s">
        <v>871</v>
      </c>
      <c r="C768" t="s">
        <v>33</v>
      </c>
      <c r="D768" t="s">
        <v>52</v>
      </c>
      <c r="E768" t="s">
        <v>77</v>
      </c>
      <c r="F768" t="s">
        <v>52</v>
      </c>
      <c r="G768" t="s">
        <v>35</v>
      </c>
      <c r="H768" t="s">
        <v>37</v>
      </c>
      <c r="I768" t="s">
        <v>35</v>
      </c>
      <c r="J768" t="s">
        <v>35</v>
      </c>
      <c r="K768" t="s">
        <v>37</v>
      </c>
      <c r="L768" t="s">
        <v>37</v>
      </c>
      <c r="M768" t="s">
        <v>35</v>
      </c>
      <c r="N768" t="s">
        <v>35</v>
      </c>
      <c r="O768" t="str">
        <f t="shared" si="24"/>
        <v>True</v>
      </c>
      <c r="P768" s="3">
        <v>31892.309865634201</v>
      </c>
      <c r="Q768" s="3">
        <v>0</v>
      </c>
      <c r="R768" s="3">
        <v>0</v>
      </c>
      <c r="S768" s="3">
        <v>580.98281860662109</v>
      </c>
      <c r="T768" s="3">
        <v>566.19029896568566</v>
      </c>
      <c r="U768">
        <v>7.5002923346120007E-2</v>
      </c>
      <c r="V768" s="3">
        <v>-20568.50388632049</v>
      </c>
      <c r="W768">
        <v>56.327898806982297</v>
      </c>
      <c r="X768">
        <v>0.19390639066296189</v>
      </c>
      <c r="Y768">
        <v>0.18896930130244691</v>
      </c>
      <c r="Z768" s="5">
        <v>0.49355262104108583</v>
      </c>
      <c r="AA768">
        <v>1.425782284286484</v>
      </c>
      <c r="AB768">
        <v>2.4545112742147071</v>
      </c>
      <c r="AC768">
        <v>2.3920164721828709</v>
      </c>
      <c r="AD768" s="5">
        <v>0.49355262104108583</v>
      </c>
      <c r="AE768">
        <v>18.047877016284609</v>
      </c>
      <c r="AF768">
        <v>17.588356413109349</v>
      </c>
      <c r="AG768">
        <v>1.389480156635639</v>
      </c>
      <c r="AH768" t="str">
        <f t="shared" si="23"/>
        <v>False</v>
      </c>
      <c r="AI768">
        <v>1</v>
      </c>
    </row>
    <row r="769" spans="1:35" x14ac:dyDescent="0.35">
      <c r="A769" t="s">
        <v>881</v>
      </c>
      <c r="B769" t="s">
        <v>871</v>
      </c>
      <c r="C769" t="s">
        <v>33</v>
      </c>
      <c r="D769" t="s">
        <v>52</v>
      </c>
      <c r="E769" t="s">
        <v>77</v>
      </c>
      <c r="F769" t="s">
        <v>52</v>
      </c>
      <c r="G769" t="s">
        <v>37</v>
      </c>
      <c r="H769" t="s">
        <v>35</v>
      </c>
      <c r="I769" t="s">
        <v>35</v>
      </c>
      <c r="J769" t="s">
        <v>35</v>
      </c>
      <c r="K769" t="s">
        <v>35</v>
      </c>
      <c r="L769" t="s">
        <v>35</v>
      </c>
      <c r="M769" t="s">
        <v>37</v>
      </c>
      <c r="N769" t="s">
        <v>35</v>
      </c>
      <c r="O769" t="str">
        <f t="shared" si="24"/>
        <v>True</v>
      </c>
      <c r="P769" s="3">
        <v>14646.32354463141</v>
      </c>
      <c r="Q769" s="3">
        <v>0</v>
      </c>
      <c r="R769" s="3">
        <v>0</v>
      </c>
      <c r="S769" s="3">
        <v>891.95692556782831</v>
      </c>
      <c r="T769" s="3">
        <v>255.21619200447839</v>
      </c>
      <c r="U769">
        <v>7.3617547087124396E-2</v>
      </c>
      <c r="V769" s="3">
        <v>-9541.9997045418422</v>
      </c>
      <c r="W769">
        <v>57.387908774904069</v>
      </c>
      <c r="X769">
        <v>0.29769580532259587</v>
      </c>
      <c r="Y769">
        <v>8.5179886642812799E-2</v>
      </c>
      <c r="Z769" s="5">
        <v>0.22247399986549291</v>
      </c>
      <c r="AA769">
        <v>2.1889397450190882</v>
      </c>
      <c r="AB769">
        <v>3.768301333197416</v>
      </c>
      <c r="AC769">
        <v>1.078226413200162</v>
      </c>
      <c r="AD769" s="5">
        <v>0.22247399986549291</v>
      </c>
      <c r="AE769">
        <v>27.708098038216299</v>
      </c>
      <c r="AF769">
        <v>7.9281353911776646</v>
      </c>
      <c r="AG769">
        <v>0.62632269590303524</v>
      </c>
      <c r="AH769" t="str">
        <f t="shared" si="23"/>
        <v>True</v>
      </c>
      <c r="AI769">
        <v>1</v>
      </c>
    </row>
    <row r="770" spans="1:35" x14ac:dyDescent="0.35">
      <c r="A770" t="s">
        <v>882</v>
      </c>
      <c r="B770" t="s">
        <v>871</v>
      </c>
      <c r="C770" t="s">
        <v>33</v>
      </c>
      <c r="D770" t="s">
        <v>52</v>
      </c>
      <c r="E770" t="s">
        <v>77</v>
      </c>
      <c r="F770" t="s">
        <v>52</v>
      </c>
      <c r="G770" t="s">
        <v>35</v>
      </c>
      <c r="H770" t="s">
        <v>37</v>
      </c>
      <c r="I770" t="s">
        <v>35</v>
      </c>
      <c r="J770" t="s">
        <v>35</v>
      </c>
      <c r="K770" t="s">
        <v>37</v>
      </c>
      <c r="L770" t="s">
        <v>35</v>
      </c>
      <c r="M770" t="s">
        <v>35</v>
      </c>
      <c r="N770" t="s">
        <v>35</v>
      </c>
      <c r="O770" t="str">
        <f t="shared" si="24"/>
        <v>True</v>
      </c>
      <c r="P770" s="3">
        <v>20847.506654872621</v>
      </c>
      <c r="Q770" s="3">
        <v>0</v>
      </c>
      <c r="R770" s="3">
        <v>0</v>
      </c>
      <c r="S770" s="3">
        <v>787.14034557987111</v>
      </c>
      <c r="T770" s="3">
        <v>360.03277199243558</v>
      </c>
      <c r="U770">
        <v>7.2960811401394002E-2</v>
      </c>
      <c r="V770" s="3">
        <v>-13646.851215023909</v>
      </c>
      <c r="W770">
        <v>57.904469472325239</v>
      </c>
      <c r="X770">
        <v>0.26271266286780659</v>
      </c>
      <c r="Y770">
        <v>0.1201630290976021</v>
      </c>
      <c r="Z770" s="5">
        <v>0.31384345263803892</v>
      </c>
      <c r="AA770">
        <v>1.931710756380931</v>
      </c>
      <c r="AB770">
        <v>3.325476745162109</v>
      </c>
      <c r="AC770">
        <v>1.521051001235469</v>
      </c>
      <c r="AD770" s="5">
        <v>0.31384345263803881</v>
      </c>
      <c r="AE770">
        <v>24.45203489089786</v>
      </c>
      <c r="AF770">
        <v>11.1841985384961</v>
      </c>
      <c r="AG770">
        <v>0.88355168454119193</v>
      </c>
      <c r="AH770" t="str">
        <f t="shared" si="23"/>
        <v>False</v>
      </c>
      <c r="AI770">
        <v>1</v>
      </c>
    </row>
    <row r="771" spans="1:35" x14ac:dyDescent="0.35">
      <c r="A771" t="s">
        <v>883</v>
      </c>
      <c r="B771" t="s">
        <v>871</v>
      </c>
      <c r="C771" t="s">
        <v>33</v>
      </c>
      <c r="D771" t="s">
        <v>52</v>
      </c>
      <c r="E771" t="s">
        <v>77</v>
      </c>
      <c r="F771" t="s">
        <v>52</v>
      </c>
      <c r="G771" t="s">
        <v>37</v>
      </c>
      <c r="H771" t="s">
        <v>35</v>
      </c>
      <c r="I771" t="s">
        <v>35</v>
      </c>
      <c r="J771" t="s">
        <v>35</v>
      </c>
      <c r="K771" t="s">
        <v>35</v>
      </c>
      <c r="L771" t="s">
        <v>37</v>
      </c>
      <c r="M771" t="s">
        <v>37</v>
      </c>
      <c r="N771" t="s">
        <v>35</v>
      </c>
      <c r="O771" t="str">
        <f t="shared" si="24"/>
        <v>True</v>
      </c>
      <c r="P771" s="3">
        <v>25691.12675539299</v>
      </c>
      <c r="Q771" s="3">
        <v>0</v>
      </c>
      <c r="R771" s="3">
        <v>0</v>
      </c>
      <c r="S771" s="3">
        <v>709.31182037230599</v>
      </c>
      <c r="T771" s="3">
        <v>437.86129720000082</v>
      </c>
      <c r="U771">
        <v>7.2003755672915004E-2</v>
      </c>
      <c r="V771" s="3">
        <v>-16933.90081139297</v>
      </c>
      <c r="W771">
        <v>58.674121050845287</v>
      </c>
      <c r="X771">
        <v>0.23673694047068941</v>
      </c>
      <c r="Y771">
        <v>0.1461387514947193</v>
      </c>
      <c r="Z771" s="5">
        <v>0.38168720177702581</v>
      </c>
      <c r="AA771">
        <v>1.7407127975785981</v>
      </c>
      <c r="AB771">
        <v>2.996670132540372</v>
      </c>
      <c r="AC771">
        <v>1.849857613857206</v>
      </c>
      <c r="AD771" s="5">
        <v>0.38168720177702581</v>
      </c>
      <c r="AE771">
        <v>22.034339209855681</v>
      </c>
      <c r="AF771">
        <v>13.601894219538281</v>
      </c>
      <c r="AG771">
        <v>1.0745496433435251</v>
      </c>
      <c r="AH771" t="str">
        <f t="shared" ref="AH771:AH834" si="25">IF(OR(G771="True",I771="True",J771="True"),"True","False")</f>
        <v>True</v>
      </c>
      <c r="AI771">
        <v>1</v>
      </c>
    </row>
    <row r="772" spans="1:35" x14ac:dyDescent="0.35">
      <c r="A772" t="s">
        <v>884</v>
      </c>
      <c r="B772" t="s">
        <v>871</v>
      </c>
      <c r="C772" t="s">
        <v>33</v>
      </c>
      <c r="D772" t="s">
        <v>52</v>
      </c>
      <c r="E772" t="s">
        <v>77</v>
      </c>
      <c r="F772" t="s">
        <v>52</v>
      </c>
      <c r="G772" t="s">
        <v>37</v>
      </c>
      <c r="H772" t="s">
        <v>35</v>
      </c>
      <c r="I772" t="s">
        <v>35</v>
      </c>
      <c r="J772" t="s">
        <v>35</v>
      </c>
      <c r="K772" t="s">
        <v>37</v>
      </c>
      <c r="L772" t="s">
        <v>37</v>
      </c>
      <c r="M772" t="s">
        <v>37</v>
      </c>
      <c r="N772" t="s">
        <v>35</v>
      </c>
      <c r="O772" t="str">
        <f t="shared" si="24"/>
        <v>True</v>
      </c>
      <c r="P772" s="3">
        <v>29849.17031709147</v>
      </c>
      <c r="Q772" s="3">
        <v>0</v>
      </c>
      <c r="R772" s="3">
        <v>0</v>
      </c>
      <c r="S772" s="3">
        <v>679.22724286049072</v>
      </c>
      <c r="T772" s="3">
        <v>467.94587471181609</v>
      </c>
      <c r="U772">
        <v>6.6231577782274398E-2</v>
      </c>
      <c r="V772" s="3">
        <v>-20490.252822855149</v>
      </c>
      <c r="W772">
        <v>63.787655646016852</v>
      </c>
      <c r="X772">
        <v>0.2266960379635774</v>
      </c>
      <c r="Y772">
        <v>0.15617965400183129</v>
      </c>
      <c r="Z772" s="5">
        <v>0.40791216909101019</v>
      </c>
      <c r="AA772">
        <v>1.666882632085128</v>
      </c>
      <c r="AB772">
        <v>2.8695701008047769</v>
      </c>
      <c r="AC772">
        <v>1.976957645592802</v>
      </c>
      <c r="AD772" s="5">
        <v>0.40791216909101019</v>
      </c>
      <c r="AE772">
        <v>21.099780152976301</v>
      </c>
      <c r="AF772">
        <v>14.53645327641766</v>
      </c>
      <c r="AG772">
        <v>1.148379808836995</v>
      </c>
      <c r="AH772" t="str">
        <f t="shared" si="25"/>
        <v>True</v>
      </c>
      <c r="AI772">
        <v>1</v>
      </c>
    </row>
    <row r="773" spans="1:35" x14ac:dyDescent="0.35">
      <c r="A773" t="s">
        <v>885</v>
      </c>
      <c r="B773" t="s">
        <v>871</v>
      </c>
      <c r="C773" t="s">
        <v>33</v>
      </c>
      <c r="D773" t="s">
        <v>52</v>
      </c>
      <c r="E773" t="s">
        <v>77</v>
      </c>
      <c r="F773" t="s">
        <v>52</v>
      </c>
      <c r="G773" t="s">
        <v>37</v>
      </c>
      <c r="H773" t="s">
        <v>35</v>
      </c>
      <c r="I773" t="s">
        <v>37</v>
      </c>
      <c r="J773" t="s">
        <v>35</v>
      </c>
      <c r="K773" t="s">
        <v>35</v>
      </c>
      <c r="L773" t="s">
        <v>37</v>
      </c>
      <c r="M773" t="s">
        <v>35</v>
      </c>
      <c r="N773" t="s">
        <v>35</v>
      </c>
      <c r="O773" t="str">
        <f t="shared" ref="O773:O836" si="26">IF(COUNTIF(G773:N773,"True")&gt;1, "True", "False")</f>
        <v>True</v>
      </c>
      <c r="P773" s="3">
        <v>43496.537003044643</v>
      </c>
      <c r="Q773" s="3">
        <v>0</v>
      </c>
      <c r="R773" s="3">
        <v>0</v>
      </c>
      <c r="S773" s="3">
        <v>470.10453066617572</v>
      </c>
      <c r="T773" s="3">
        <v>677.06858690613103</v>
      </c>
      <c r="U773">
        <v>6.5762713560063593E-2</v>
      </c>
      <c r="V773" s="3">
        <v>-29955.16526492202</v>
      </c>
      <c r="W773">
        <v>64.242438423856484</v>
      </c>
      <c r="X773">
        <v>0.1569001179663197</v>
      </c>
      <c r="Y773">
        <v>0.22597557399908899</v>
      </c>
      <c r="Z773" s="5">
        <v>0.59020611321416816</v>
      </c>
      <c r="AA773">
        <v>1.153677337987645</v>
      </c>
      <c r="AB773">
        <v>1.9860774426116421</v>
      </c>
      <c r="AC773">
        <v>2.8604503037859361</v>
      </c>
      <c r="AD773" s="5">
        <v>0.59020611321416805</v>
      </c>
      <c r="AE773">
        <v>14.60351060743854</v>
      </c>
      <c r="AF773">
        <v>21.03272282195541</v>
      </c>
      <c r="AG773">
        <v>1.6615851029344779</v>
      </c>
      <c r="AH773" t="str">
        <f t="shared" si="25"/>
        <v>True</v>
      </c>
      <c r="AI773">
        <v>1</v>
      </c>
    </row>
    <row r="774" spans="1:35" x14ac:dyDescent="0.35">
      <c r="A774" t="s">
        <v>886</v>
      </c>
      <c r="B774" t="s">
        <v>871</v>
      </c>
      <c r="C774" t="s">
        <v>33</v>
      </c>
      <c r="D774" t="s">
        <v>52</v>
      </c>
      <c r="E774" t="s">
        <v>77</v>
      </c>
      <c r="F774" t="s">
        <v>52</v>
      </c>
      <c r="G774" t="s">
        <v>37</v>
      </c>
      <c r="H774" t="s">
        <v>35</v>
      </c>
      <c r="I774" t="s">
        <v>35</v>
      </c>
      <c r="J774" t="s">
        <v>35</v>
      </c>
      <c r="K774" t="s">
        <v>37</v>
      </c>
      <c r="L774" t="s">
        <v>35</v>
      </c>
      <c r="M774" t="s">
        <v>37</v>
      </c>
      <c r="N774" t="s">
        <v>35</v>
      </c>
      <c r="O774" t="str">
        <f t="shared" si="26"/>
        <v>True</v>
      </c>
      <c r="P774" s="3">
        <v>18804.36710632989</v>
      </c>
      <c r="Q774" s="3">
        <v>0</v>
      </c>
      <c r="R774" s="3">
        <v>0</v>
      </c>
      <c r="S774" s="3">
        <v>859.78016821247002</v>
      </c>
      <c r="T774" s="3">
        <v>287.39294935983679</v>
      </c>
      <c r="U774">
        <v>6.4568267023796796E-2</v>
      </c>
      <c r="V774" s="3">
        <v>-13056.50811913315</v>
      </c>
      <c r="W774">
        <v>65.430857466115015</v>
      </c>
      <c r="X774">
        <v>0.28695662563914293</v>
      </c>
      <c r="Y774">
        <v>9.5919066326265706E-2</v>
      </c>
      <c r="Z774" s="5">
        <v>0.25052273711576262</v>
      </c>
      <c r="AA774">
        <v>2.1099751885231099</v>
      </c>
      <c r="AB774">
        <v>3.6323623498625688</v>
      </c>
      <c r="AC774">
        <v>1.2141653965350101</v>
      </c>
      <c r="AD774" s="5">
        <v>0.25052273711576262</v>
      </c>
      <c r="AE774">
        <v>26.708546690165949</v>
      </c>
      <c r="AF774">
        <v>8.9276867392280117</v>
      </c>
      <c r="AG774">
        <v>0.70528725239901302</v>
      </c>
      <c r="AH774" t="str">
        <f t="shared" si="25"/>
        <v>True</v>
      </c>
      <c r="AI774">
        <v>1</v>
      </c>
    </row>
    <row r="775" spans="1:35" x14ac:dyDescent="0.35">
      <c r="A775" t="s">
        <v>887</v>
      </c>
      <c r="B775" t="s">
        <v>888</v>
      </c>
      <c r="C775" t="s">
        <v>465</v>
      </c>
      <c r="D775" t="s">
        <v>34</v>
      </c>
      <c r="E775" t="s">
        <v>52</v>
      </c>
      <c r="F775" t="s">
        <v>34</v>
      </c>
      <c r="G775" t="s">
        <v>35</v>
      </c>
      <c r="H775" t="s">
        <v>35</v>
      </c>
      <c r="I775" t="s">
        <v>35</v>
      </c>
      <c r="J775" t="s">
        <v>35</v>
      </c>
      <c r="K775" t="s">
        <v>35</v>
      </c>
      <c r="L775" t="s">
        <v>35</v>
      </c>
      <c r="M775" t="s">
        <v>35</v>
      </c>
      <c r="N775" t="s">
        <v>35</v>
      </c>
      <c r="O775" t="str">
        <f t="shared" si="26"/>
        <v>False</v>
      </c>
      <c r="P775" s="3">
        <v>0</v>
      </c>
      <c r="Q775" s="3">
        <v>0</v>
      </c>
      <c r="R775" s="3">
        <v>0</v>
      </c>
      <c r="S775" s="3">
        <v>11014.389570784089</v>
      </c>
      <c r="T775" s="3">
        <v>0</v>
      </c>
      <c r="U775">
        <v>0</v>
      </c>
      <c r="V775" s="3">
        <v>0</v>
      </c>
      <c r="W775">
        <v>0</v>
      </c>
      <c r="X775">
        <v>4.4057558283136373</v>
      </c>
      <c r="Y775">
        <v>0</v>
      </c>
      <c r="Z775" s="5">
        <v>0</v>
      </c>
      <c r="AA775">
        <v>10.174955723588081</v>
      </c>
      <c r="AB775">
        <v>55.769061117894147</v>
      </c>
      <c r="AC775">
        <v>0</v>
      </c>
      <c r="AD775" s="5">
        <v>0</v>
      </c>
      <c r="AE775">
        <v>128.79690789352</v>
      </c>
      <c r="AF775">
        <v>0</v>
      </c>
      <c r="AG775">
        <v>3.5527136788005009E-15</v>
      </c>
      <c r="AH775" t="str">
        <f t="shared" si="25"/>
        <v>False</v>
      </c>
      <c r="AI775">
        <v>0</v>
      </c>
    </row>
    <row r="776" spans="1:35" x14ac:dyDescent="0.35">
      <c r="A776" t="s">
        <v>889</v>
      </c>
      <c r="B776" t="s">
        <v>888</v>
      </c>
      <c r="C776" t="s">
        <v>465</v>
      </c>
      <c r="D776" t="s">
        <v>34</v>
      </c>
      <c r="E776" t="s">
        <v>52</v>
      </c>
      <c r="F776" t="s">
        <v>34</v>
      </c>
      <c r="G776" t="s">
        <v>37</v>
      </c>
      <c r="H776" t="s">
        <v>35</v>
      </c>
      <c r="I776" t="s">
        <v>35</v>
      </c>
      <c r="J776" t="s">
        <v>35</v>
      </c>
      <c r="K776" t="s">
        <v>35</v>
      </c>
      <c r="L776" t="s">
        <v>35</v>
      </c>
      <c r="M776" t="s">
        <v>35</v>
      </c>
      <c r="N776" t="s">
        <v>35</v>
      </c>
      <c r="O776" t="str">
        <f t="shared" si="26"/>
        <v>False</v>
      </c>
      <c r="P776" s="3">
        <v>31936.206454681189</v>
      </c>
      <c r="Q776" s="3">
        <v>0</v>
      </c>
      <c r="R776" s="3">
        <v>0</v>
      </c>
      <c r="S776" s="3">
        <v>10438.355740283039</v>
      </c>
      <c r="T776" s="3">
        <v>576.03383050105879</v>
      </c>
      <c r="U776">
        <v>9.1326657535784395E-2</v>
      </c>
      <c r="V776" s="3">
        <v>-20415.52984466001</v>
      </c>
      <c r="W776">
        <v>55.441546596146473</v>
      </c>
      <c r="X776">
        <v>4.1753422961132154</v>
      </c>
      <c r="Y776">
        <v>0.23041353220042279</v>
      </c>
      <c r="Z776" s="5">
        <v>5.2298298221537302E-2</v>
      </c>
      <c r="AA776">
        <v>9.6428228547649297</v>
      </c>
      <c r="AB776">
        <v>52.852434128015368</v>
      </c>
      <c r="AC776">
        <v>2.9166269898787789</v>
      </c>
      <c r="AD776" s="5">
        <v>5.22982982215374E-2</v>
      </c>
      <c r="AE776">
        <v>122.06104879449281</v>
      </c>
      <c r="AF776">
        <v>6.735859099027202</v>
      </c>
      <c r="AG776">
        <v>0.53213286882315103</v>
      </c>
      <c r="AH776" t="str">
        <f t="shared" si="25"/>
        <v>True</v>
      </c>
      <c r="AI776">
        <v>2</v>
      </c>
    </row>
    <row r="777" spans="1:35" x14ac:dyDescent="0.35">
      <c r="A777" t="s">
        <v>890</v>
      </c>
      <c r="B777" t="s">
        <v>888</v>
      </c>
      <c r="C777" t="s">
        <v>465</v>
      </c>
      <c r="D777" t="s">
        <v>34</v>
      </c>
      <c r="E777" t="s">
        <v>52</v>
      </c>
      <c r="F777" t="s">
        <v>34</v>
      </c>
      <c r="G777" t="s">
        <v>37</v>
      </c>
      <c r="H777" t="s">
        <v>35</v>
      </c>
      <c r="I777" t="s">
        <v>35</v>
      </c>
      <c r="J777" t="s">
        <v>35</v>
      </c>
      <c r="K777" t="s">
        <v>37</v>
      </c>
      <c r="L777" t="s">
        <v>35</v>
      </c>
      <c r="M777" t="s">
        <v>35</v>
      </c>
      <c r="N777" t="s">
        <v>35</v>
      </c>
      <c r="O777" t="str">
        <f t="shared" si="26"/>
        <v>True</v>
      </c>
      <c r="P777" s="3">
        <v>48220.212338554811</v>
      </c>
      <c r="Q777" s="3">
        <v>0</v>
      </c>
      <c r="R777" s="3">
        <v>0</v>
      </c>
      <c r="S777" s="3">
        <v>10349.23000694712</v>
      </c>
      <c r="T777" s="3">
        <v>665.15956383697323</v>
      </c>
      <c r="U777">
        <v>6.98440832676301E-2</v>
      </c>
      <c r="V777" s="3">
        <v>-34917.021061815351</v>
      </c>
      <c r="W777">
        <v>72.494202835176111</v>
      </c>
      <c r="X777">
        <v>4.1396920027788484</v>
      </c>
      <c r="Y777">
        <v>0.26606382553478891</v>
      </c>
      <c r="Z777" s="5">
        <v>6.0390052445695397E-2</v>
      </c>
      <c r="AA777">
        <v>9.5604896138079631</v>
      </c>
      <c r="AB777">
        <v>52.40116459213732</v>
      </c>
      <c r="AC777">
        <v>3.367896525756827</v>
      </c>
      <c r="AD777" s="5">
        <v>6.0390052445695501E-2</v>
      </c>
      <c r="AE777">
        <v>121.0188558709869</v>
      </c>
      <c r="AF777">
        <v>7.7780520225330871</v>
      </c>
      <c r="AG777">
        <v>0.61446610978011762</v>
      </c>
      <c r="AH777" t="str">
        <f t="shared" si="25"/>
        <v>True</v>
      </c>
      <c r="AI777">
        <v>2</v>
      </c>
    </row>
    <row r="778" spans="1:35" x14ac:dyDescent="0.35">
      <c r="A778" t="s">
        <v>891</v>
      </c>
      <c r="B778" t="s">
        <v>888</v>
      </c>
      <c r="C778" t="s">
        <v>465</v>
      </c>
      <c r="D778" t="s">
        <v>34</v>
      </c>
      <c r="E778" t="s">
        <v>52</v>
      </c>
      <c r="F778" t="s">
        <v>34</v>
      </c>
      <c r="G778" t="s">
        <v>35</v>
      </c>
      <c r="H778" t="s">
        <v>37</v>
      </c>
      <c r="I778" t="s">
        <v>35</v>
      </c>
      <c r="J778" t="s">
        <v>35</v>
      </c>
      <c r="K778" t="s">
        <v>35</v>
      </c>
      <c r="L778" t="s">
        <v>35</v>
      </c>
      <c r="M778" t="s">
        <v>35</v>
      </c>
      <c r="N778" t="s">
        <v>35</v>
      </c>
      <c r="O778" t="str">
        <f t="shared" si="26"/>
        <v>False</v>
      </c>
      <c r="P778" s="3">
        <v>76646.895491234856</v>
      </c>
      <c r="Q778" s="3">
        <v>0</v>
      </c>
      <c r="R778" s="3">
        <v>0</v>
      </c>
      <c r="S778" s="3">
        <v>10006.01626654461</v>
      </c>
      <c r="T778" s="3">
        <v>1008.373304239488</v>
      </c>
      <c r="U778">
        <v>6.6613103944781996E-2</v>
      </c>
      <c r="V778" s="3">
        <v>-56479.429406445102</v>
      </c>
      <c r="W778">
        <v>76.010436977049594</v>
      </c>
      <c r="X778">
        <v>4.0024065066178416</v>
      </c>
      <c r="Y778">
        <v>0.40334932169579479</v>
      </c>
      <c r="Z778" s="5">
        <v>9.1550539206840698E-2</v>
      </c>
      <c r="AA778">
        <v>9.243433040687858</v>
      </c>
      <c r="AB778">
        <v>50.663373501491677</v>
      </c>
      <c r="AC778">
        <v>5.10568761640247</v>
      </c>
      <c r="AD778" s="5">
        <v>9.1550539206840795E-2</v>
      </c>
      <c r="AE778">
        <v>117.0054815276944</v>
      </c>
      <c r="AF778">
        <v>11.79142636582556</v>
      </c>
      <c r="AG778">
        <v>0.93152268290022278</v>
      </c>
      <c r="AH778" t="str">
        <f t="shared" si="25"/>
        <v>False</v>
      </c>
      <c r="AI778">
        <v>2</v>
      </c>
    </row>
    <row r="779" spans="1:35" x14ac:dyDescent="0.35">
      <c r="A779" t="s">
        <v>892</v>
      </c>
      <c r="B779" t="s">
        <v>888</v>
      </c>
      <c r="C779" t="s">
        <v>465</v>
      </c>
      <c r="D779" t="s">
        <v>34</v>
      </c>
      <c r="E779" t="s">
        <v>52</v>
      </c>
      <c r="F779" t="s">
        <v>34</v>
      </c>
      <c r="G779" t="s">
        <v>35</v>
      </c>
      <c r="H779" t="s">
        <v>35</v>
      </c>
      <c r="I779" t="s">
        <v>35</v>
      </c>
      <c r="J779" t="s">
        <v>35</v>
      </c>
      <c r="K779" t="s">
        <v>37</v>
      </c>
      <c r="L779" t="s">
        <v>35</v>
      </c>
      <c r="M779" t="s">
        <v>35</v>
      </c>
      <c r="N779" t="s">
        <v>35</v>
      </c>
      <c r="O779" t="str">
        <f t="shared" si="26"/>
        <v>False</v>
      </c>
      <c r="P779" s="3">
        <v>16284.00588387362</v>
      </c>
      <c r="Q779" s="3">
        <v>0</v>
      </c>
      <c r="R779" s="3">
        <v>0</v>
      </c>
      <c r="S779" s="3">
        <v>10817.7862754206</v>
      </c>
      <c r="T779" s="3">
        <v>196.60329536349471</v>
      </c>
      <c r="U779">
        <v>6.1131132625375097E-2</v>
      </c>
      <c r="V779" s="3">
        <v>-12351.93997660373</v>
      </c>
      <c r="W779">
        <v>82.826718920283341</v>
      </c>
      <c r="X779">
        <v>4.32711451016824</v>
      </c>
      <c r="Y779">
        <v>7.8641318145397293E-2</v>
      </c>
      <c r="Z779" s="5">
        <v>1.78496769249008E-2</v>
      </c>
      <c r="AA779">
        <v>9.9933360511968576</v>
      </c>
      <c r="AB779">
        <v>54.77360139453468</v>
      </c>
      <c r="AC779">
        <v>0.99545972335946675</v>
      </c>
      <c r="AD779" s="5">
        <v>1.7849676924900901E-2</v>
      </c>
      <c r="AE779">
        <v>126.4979246986944</v>
      </c>
      <c r="AF779">
        <v>2.298983194825559</v>
      </c>
      <c r="AG779">
        <v>0.18161967239122309</v>
      </c>
      <c r="AH779" t="str">
        <f t="shared" si="25"/>
        <v>False</v>
      </c>
      <c r="AI779">
        <v>1</v>
      </c>
    </row>
    <row r="780" spans="1:35" x14ac:dyDescent="0.35">
      <c r="A780" t="s">
        <v>893</v>
      </c>
      <c r="B780" t="s">
        <v>888</v>
      </c>
      <c r="C780" t="s">
        <v>465</v>
      </c>
      <c r="D780" t="s">
        <v>34</v>
      </c>
      <c r="E780" t="s">
        <v>52</v>
      </c>
      <c r="F780" t="s">
        <v>34</v>
      </c>
      <c r="G780" t="s">
        <v>35</v>
      </c>
      <c r="H780" t="s">
        <v>37</v>
      </c>
      <c r="I780" t="s">
        <v>35</v>
      </c>
      <c r="J780" t="s">
        <v>35</v>
      </c>
      <c r="K780" t="s">
        <v>37</v>
      </c>
      <c r="L780" t="s">
        <v>35</v>
      </c>
      <c r="M780" t="s">
        <v>35</v>
      </c>
      <c r="N780" t="s">
        <v>35</v>
      </c>
      <c r="O780" t="str">
        <f t="shared" si="26"/>
        <v>True</v>
      </c>
      <c r="P780" s="3">
        <v>92930.901375108486</v>
      </c>
      <c r="Q780" s="3">
        <v>0</v>
      </c>
      <c r="R780" s="3">
        <v>0</v>
      </c>
      <c r="S780" s="3">
        <v>9921.1933237481317</v>
      </c>
      <c r="T780" s="3">
        <v>1093.1962470359599</v>
      </c>
      <c r="U780">
        <v>5.95622208454199E-2</v>
      </c>
      <c r="V780" s="3">
        <v>-71066.97643438926</v>
      </c>
      <c r="W780">
        <v>85.008434329222084</v>
      </c>
      <c r="X780">
        <v>3.9684773294992541</v>
      </c>
      <c r="Y780">
        <v>0.43727849881438358</v>
      </c>
      <c r="Z780" s="5">
        <v>9.9251641682956707E-2</v>
      </c>
      <c r="AA780">
        <v>9.1650746639705645</v>
      </c>
      <c r="AB780">
        <v>50.233890246825993</v>
      </c>
      <c r="AC780">
        <v>5.5351708710681544</v>
      </c>
      <c r="AD780" s="5">
        <v>9.9251641682956901E-2</v>
      </c>
      <c r="AE780">
        <v>116.0136033413995</v>
      </c>
      <c r="AF780">
        <v>12.78330455212045</v>
      </c>
      <c r="AG780">
        <v>1.0098810596175181</v>
      </c>
      <c r="AH780" t="str">
        <f t="shared" si="25"/>
        <v>False</v>
      </c>
      <c r="AI780">
        <v>2</v>
      </c>
    </row>
    <row r="781" spans="1:35" x14ac:dyDescent="0.35">
      <c r="A781" t="s">
        <v>894</v>
      </c>
      <c r="B781" t="s">
        <v>888</v>
      </c>
      <c r="C781" t="s">
        <v>465</v>
      </c>
      <c r="D781" t="s">
        <v>34</v>
      </c>
      <c r="E781" t="s">
        <v>52</v>
      </c>
      <c r="F781" t="s">
        <v>34</v>
      </c>
      <c r="G781" t="s">
        <v>37</v>
      </c>
      <c r="H781" t="s">
        <v>35</v>
      </c>
      <c r="I781" t="s">
        <v>35</v>
      </c>
      <c r="J781" t="s">
        <v>35</v>
      </c>
      <c r="K781" t="s">
        <v>35</v>
      </c>
      <c r="L781" t="s">
        <v>37</v>
      </c>
      <c r="M781" t="s">
        <v>35</v>
      </c>
      <c r="N781" t="s">
        <v>35</v>
      </c>
      <c r="O781" t="str">
        <f t="shared" si="26"/>
        <v>True</v>
      </c>
      <c r="P781" s="3">
        <v>75190.597083720495</v>
      </c>
      <c r="Q781" s="3">
        <v>0</v>
      </c>
      <c r="R781" s="3">
        <v>0</v>
      </c>
      <c r="S781" s="3">
        <v>10145.68941868681</v>
      </c>
      <c r="T781" s="3">
        <v>868.70015209728524</v>
      </c>
      <c r="U781">
        <v>5.8497763728004401E-2</v>
      </c>
      <c r="V781" s="3">
        <v>-57816.594041774792</v>
      </c>
      <c r="W781">
        <v>86.555294024283697</v>
      </c>
      <c r="X781">
        <v>4.0582757674747238</v>
      </c>
      <c r="Y781">
        <v>0.34748006083891347</v>
      </c>
      <c r="Z781" s="5">
        <v>7.8869568441770899E-2</v>
      </c>
      <c r="AA781">
        <v>9.3724613567545596</v>
      </c>
      <c r="AB781">
        <v>51.370579335123082</v>
      </c>
      <c r="AC781">
        <v>4.3984817827710643</v>
      </c>
      <c r="AD781" s="5">
        <v>7.8869568441770996E-2</v>
      </c>
      <c r="AE781">
        <v>118.63875135132351</v>
      </c>
      <c r="AF781">
        <v>10.158156542196449</v>
      </c>
      <c r="AG781">
        <v>0.80249436683352116</v>
      </c>
      <c r="AH781" t="str">
        <f t="shared" si="25"/>
        <v>True</v>
      </c>
      <c r="AI781">
        <v>2</v>
      </c>
    </row>
    <row r="782" spans="1:35" x14ac:dyDescent="0.35">
      <c r="A782" t="s">
        <v>895</v>
      </c>
      <c r="B782" t="s">
        <v>888</v>
      </c>
      <c r="C782" t="s">
        <v>465</v>
      </c>
      <c r="D782" t="s">
        <v>34</v>
      </c>
      <c r="E782" t="s">
        <v>52</v>
      </c>
      <c r="F782" t="s">
        <v>34</v>
      </c>
      <c r="G782" t="s">
        <v>35</v>
      </c>
      <c r="H782" t="s">
        <v>37</v>
      </c>
      <c r="I782" t="s">
        <v>35</v>
      </c>
      <c r="J782" t="s">
        <v>35</v>
      </c>
      <c r="K782" t="s">
        <v>35</v>
      </c>
      <c r="L782" t="s">
        <v>37</v>
      </c>
      <c r="M782" t="s">
        <v>35</v>
      </c>
      <c r="N782" t="s">
        <v>35</v>
      </c>
      <c r="O782" t="str">
        <f t="shared" si="26"/>
        <v>True</v>
      </c>
      <c r="P782" s="3">
        <v>119901.28612027421</v>
      </c>
      <c r="Q782" s="3">
        <v>0</v>
      </c>
      <c r="R782" s="3">
        <v>0</v>
      </c>
      <c r="S782" s="3">
        <v>9717.2157717675163</v>
      </c>
      <c r="T782" s="3">
        <v>1297.17379901658</v>
      </c>
      <c r="U782">
        <v>5.4778133038766497E-2</v>
      </c>
      <c r="V782" s="3">
        <v>-93957.810139942594</v>
      </c>
      <c r="W782">
        <v>92.432707329715114</v>
      </c>
      <c r="X782">
        <v>3.8868863087070058</v>
      </c>
      <c r="Y782">
        <v>0.51886951960663152</v>
      </c>
      <c r="Z782" s="5">
        <v>0.1177708297568628</v>
      </c>
      <c r="AA782">
        <v>8.9766427452817688</v>
      </c>
      <c r="AB782">
        <v>49.201092515278553</v>
      </c>
      <c r="AC782">
        <v>6.5679686026155926</v>
      </c>
      <c r="AD782" s="5">
        <v>0.1177708297568629</v>
      </c>
      <c r="AE782">
        <v>113.62838918078189</v>
      </c>
      <c r="AF782">
        <v>15.16851871273809</v>
      </c>
      <c r="AG782">
        <v>1.198312978306312</v>
      </c>
      <c r="AH782" t="str">
        <f t="shared" si="25"/>
        <v>False</v>
      </c>
      <c r="AI782">
        <v>2</v>
      </c>
    </row>
    <row r="783" spans="1:35" x14ac:dyDescent="0.35">
      <c r="A783" t="s">
        <v>896</v>
      </c>
      <c r="B783" t="s">
        <v>888</v>
      </c>
      <c r="C783" t="s">
        <v>465</v>
      </c>
      <c r="D783" t="s">
        <v>34</v>
      </c>
      <c r="E783" t="s">
        <v>52</v>
      </c>
      <c r="F783" t="s">
        <v>34</v>
      </c>
      <c r="G783" t="s">
        <v>37</v>
      </c>
      <c r="H783" t="s">
        <v>35</v>
      </c>
      <c r="I783" t="s">
        <v>35</v>
      </c>
      <c r="J783" t="s">
        <v>35</v>
      </c>
      <c r="K783" t="s">
        <v>37</v>
      </c>
      <c r="L783" t="s">
        <v>37</v>
      </c>
      <c r="M783" t="s">
        <v>35</v>
      </c>
      <c r="N783" t="s">
        <v>35</v>
      </c>
      <c r="O783" t="str">
        <f t="shared" si="26"/>
        <v>True</v>
      </c>
      <c r="P783" s="3">
        <v>91474.602967594124</v>
      </c>
      <c r="Q783" s="3">
        <v>0</v>
      </c>
      <c r="R783" s="3">
        <v>0</v>
      </c>
      <c r="S783" s="3">
        <v>10058.47275819378</v>
      </c>
      <c r="T783" s="3">
        <v>955.91681259031395</v>
      </c>
      <c r="U783">
        <v>5.2911791579507803E-2</v>
      </c>
      <c r="V783" s="3">
        <v>-72356.266715787831</v>
      </c>
      <c r="W783">
        <v>95.69305797616326</v>
      </c>
      <c r="X783">
        <v>4.0233891032775118</v>
      </c>
      <c r="Y783">
        <v>0.38236672503612562</v>
      </c>
      <c r="Z783" s="5">
        <v>8.6787997323601401E-2</v>
      </c>
      <c r="AA783">
        <v>9.2918916934815527</v>
      </c>
      <c r="AB783">
        <v>50.928975990854582</v>
      </c>
      <c r="AC783">
        <v>4.8400851270395648</v>
      </c>
      <c r="AD783" s="5">
        <v>8.6787997323601401E-2</v>
      </c>
      <c r="AE783">
        <v>117.61888219596899</v>
      </c>
      <c r="AF783">
        <v>11.178025697550961</v>
      </c>
      <c r="AG783">
        <v>0.88306403010652978</v>
      </c>
      <c r="AH783" t="str">
        <f t="shared" si="25"/>
        <v>True</v>
      </c>
      <c r="AI783">
        <v>2</v>
      </c>
    </row>
    <row r="784" spans="1:35" x14ac:dyDescent="0.35">
      <c r="A784" t="s">
        <v>897</v>
      </c>
      <c r="B784" t="s">
        <v>888</v>
      </c>
      <c r="C784" t="s">
        <v>465</v>
      </c>
      <c r="D784" t="s">
        <v>34</v>
      </c>
      <c r="E784" t="s">
        <v>52</v>
      </c>
      <c r="F784" t="s">
        <v>34</v>
      </c>
      <c r="G784" t="s">
        <v>35</v>
      </c>
      <c r="H784" t="s">
        <v>37</v>
      </c>
      <c r="I784" t="s">
        <v>35</v>
      </c>
      <c r="J784" t="s">
        <v>35</v>
      </c>
      <c r="K784" t="s">
        <v>37</v>
      </c>
      <c r="L784" t="s">
        <v>37</v>
      </c>
      <c r="M784" t="s">
        <v>35</v>
      </c>
      <c r="N784" t="s">
        <v>35</v>
      </c>
      <c r="O784" t="str">
        <f t="shared" si="26"/>
        <v>True</v>
      </c>
      <c r="P784" s="3">
        <v>136185.29200414781</v>
      </c>
      <c r="Q784" s="3">
        <v>0</v>
      </c>
      <c r="R784" s="3">
        <v>0</v>
      </c>
      <c r="S784" s="3">
        <v>9636.2058336024384</v>
      </c>
      <c r="T784" s="3">
        <v>1378.183737181655</v>
      </c>
      <c r="U784">
        <v>5.1240081818121001E-2</v>
      </c>
      <c r="V784" s="3">
        <v>-108621.6172605147</v>
      </c>
      <c r="W784">
        <v>98.815047899667377</v>
      </c>
      <c r="X784">
        <v>3.8544823334409761</v>
      </c>
      <c r="Y784">
        <v>0.55127349487266164</v>
      </c>
      <c r="Z784" s="5">
        <v>0.12512574830631709</v>
      </c>
      <c r="AA784">
        <v>8.9018067746904759</v>
      </c>
      <c r="AB784">
        <v>48.790915613176907</v>
      </c>
      <c r="AC784">
        <v>6.97814550471724</v>
      </c>
      <c r="AD784" s="5">
        <v>0.12512574830631709</v>
      </c>
      <c r="AE784">
        <v>112.6810984138035</v>
      </c>
      <c r="AF784">
        <v>16.115809479716489</v>
      </c>
      <c r="AG784">
        <v>1.2731489488976051</v>
      </c>
      <c r="AH784" t="str">
        <f t="shared" si="25"/>
        <v>False</v>
      </c>
      <c r="AI784">
        <v>2</v>
      </c>
    </row>
    <row r="785" spans="1:35" x14ac:dyDescent="0.35">
      <c r="A785" t="s">
        <v>898</v>
      </c>
      <c r="B785" t="s">
        <v>888</v>
      </c>
      <c r="C785" t="s">
        <v>465</v>
      </c>
      <c r="D785" t="s">
        <v>34</v>
      </c>
      <c r="E785" t="s">
        <v>52</v>
      </c>
      <c r="F785" t="s">
        <v>34</v>
      </c>
      <c r="G785" t="s">
        <v>35</v>
      </c>
      <c r="H785" t="s">
        <v>35</v>
      </c>
      <c r="I785" t="s">
        <v>35</v>
      </c>
      <c r="J785" t="s">
        <v>35</v>
      </c>
      <c r="K785" t="s">
        <v>35</v>
      </c>
      <c r="L785" t="s">
        <v>37</v>
      </c>
      <c r="M785" t="s">
        <v>35</v>
      </c>
      <c r="N785" t="s">
        <v>35</v>
      </c>
      <c r="O785" t="str">
        <f t="shared" si="26"/>
        <v>False</v>
      </c>
      <c r="P785" s="3">
        <v>43254.390629039299</v>
      </c>
      <c r="Q785" s="3">
        <v>0</v>
      </c>
      <c r="R785" s="3">
        <v>0</v>
      </c>
      <c r="S785" s="3">
        <v>10609.22906060371</v>
      </c>
      <c r="T785" s="3">
        <v>405.16051018038252</v>
      </c>
      <c r="U785">
        <v>4.7427453984040899E-2</v>
      </c>
      <c r="V785" s="3">
        <v>-35151.180425431652</v>
      </c>
      <c r="W785">
        <v>106.75865377349319</v>
      </c>
      <c r="X785">
        <v>4.2436916242414844</v>
      </c>
      <c r="Y785">
        <v>0.16206420407215291</v>
      </c>
      <c r="Z785" s="5">
        <v>3.6784654072439797E-2</v>
      </c>
      <c r="AA785">
        <v>9.8006734970935003</v>
      </c>
      <c r="AB785">
        <v>53.717615496727653</v>
      </c>
      <c r="AC785">
        <v>2.051445621166494</v>
      </c>
      <c r="AD785" s="5">
        <v>3.6784654072439797E-2</v>
      </c>
      <c r="AE785">
        <v>124.05915819105689</v>
      </c>
      <c r="AF785">
        <v>4.7377497024630344</v>
      </c>
      <c r="AG785">
        <v>0.3742822264945822</v>
      </c>
      <c r="AH785" t="str">
        <f t="shared" si="25"/>
        <v>False</v>
      </c>
      <c r="AI785">
        <v>1</v>
      </c>
    </row>
    <row r="786" spans="1:35" x14ac:dyDescent="0.35">
      <c r="A786" t="s">
        <v>899</v>
      </c>
      <c r="B786" t="s">
        <v>888</v>
      </c>
      <c r="C786" t="s">
        <v>465</v>
      </c>
      <c r="D786" t="s">
        <v>34</v>
      </c>
      <c r="E786" t="s">
        <v>52</v>
      </c>
      <c r="F786" t="s">
        <v>34</v>
      </c>
      <c r="G786" t="s">
        <v>35</v>
      </c>
      <c r="H786" t="s">
        <v>35</v>
      </c>
      <c r="I786" t="s">
        <v>35</v>
      </c>
      <c r="J786" t="s">
        <v>35</v>
      </c>
      <c r="K786" t="s">
        <v>37</v>
      </c>
      <c r="L786" t="s">
        <v>37</v>
      </c>
      <c r="M786" t="s">
        <v>35</v>
      </c>
      <c r="N786" t="s">
        <v>35</v>
      </c>
      <c r="O786" t="str">
        <f t="shared" si="26"/>
        <v>True</v>
      </c>
      <c r="P786" s="3">
        <v>59538.396512912921</v>
      </c>
      <c r="Q786" s="3">
        <v>0</v>
      </c>
      <c r="R786" s="3">
        <v>0</v>
      </c>
      <c r="S786" s="3">
        <v>10518.599233218831</v>
      </c>
      <c r="T786" s="3">
        <v>495.79033756525979</v>
      </c>
      <c r="U786">
        <v>4.2163225248613899E-2</v>
      </c>
      <c r="V786" s="3">
        <v>-49622.589761607727</v>
      </c>
      <c r="W786">
        <v>120.08785166184489</v>
      </c>
      <c r="X786">
        <v>4.207439693287534</v>
      </c>
      <c r="Y786">
        <v>0.19831613502610329</v>
      </c>
      <c r="Z786" s="5">
        <v>4.5012965482930802E-2</v>
      </c>
      <c r="AA786">
        <v>9.7169507928118577</v>
      </c>
      <c r="AB786">
        <v>53.258730294778907</v>
      </c>
      <c r="AC786">
        <v>2.5103308231152401</v>
      </c>
      <c r="AD786" s="5">
        <v>4.5012965482931003E-2</v>
      </c>
      <c r="AE786">
        <v>122.99937712420071</v>
      </c>
      <c r="AF786">
        <v>5.7975307693192599</v>
      </c>
      <c r="AG786">
        <v>0.45800493077622312</v>
      </c>
      <c r="AH786" t="str">
        <f t="shared" si="25"/>
        <v>False</v>
      </c>
      <c r="AI786">
        <v>1</v>
      </c>
    </row>
    <row r="787" spans="1:35" x14ac:dyDescent="0.35">
      <c r="A787" t="s">
        <v>900</v>
      </c>
      <c r="B787" t="s">
        <v>888</v>
      </c>
      <c r="C787" t="s">
        <v>465</v>
      </c>
      <c r="D787" t="s">
        <v>34</v>
      </c>
      <c r="E787" t="s">
        <v>52</v>
      </c>
      <c r="F787" t="s">
        <v>34</v>
      </c>
      <c r="G787" t="s">
        <v>35</v>
      </c>
      <c r="H787" t="s">
        <v>37</v>
      </c>
      <c r="I787" t="s">
        <v>35</v>
      </c>
      <c r="J787" t="s">
        <v>37</v>
      </c>
      <c r="K787" t="s">
        <v>35</v>
      </c>
      <c r="L787" t="s">
        <v>35</v>
      </c>
      <c r="M787" t="s">
        <v>35</v>
      </c>
      <c r="N787" t="s">
        <v>35</v>
      </c>
      <c r="O787" t="str">
        <f t="shared" si="26"/>
        <v>True</v>
      </c>
      <c r="P787" s="3">
        <v>140519.30840059719</v>
      </c>
      <c r="Q787" s="3">
        <v>0</v>
      </c>
      <c r="R787" s="3">
        <v>0</v>
      </c>
      <c r="S787" s="3">
        <v>9863.338538603688</v>
      </c>
      <c r="T787" s="3">
        <v>1151.0510321804061</v>
      </c>
      <c r="U787">
        <v>4.1475485172740301E-2</v>
      </c>
      <c r="V787" s="3">
        <v>-117498.2877569891</v>
      </c>
      <c r="W787">
        <v>122.07912983181561</v>
      </c>
      <c r="X787">
        <v>3.945335415441475</v>
      </c>
      <c r="Y787">
        <v>0.46042041287216229</v>
      </c>
      <c r="Z787" s="5">
        <v>0.1045042963827604</v>
      </c>
      <c r="AA787">
        <v>9.1116291349687639</v>
      </c>
      <c r="AB787">
        <v>49.940954625841457</v>
      </c>
      <c r="AC787">
        <v>5.8281064920526902</v>
      </c>
      <c r="AD787" s="5">
        <v>0.1045042963827604</v>
      </c>
      <c r="AE787">
        <v>115.33707765783249</v>
      </c>
      <c r="AF787">
        <v>13.459830235687511</v>
      </c>
      <c r="AG787">
        <v>1.0633265886193171</v>
      </c>
      <c r="AH787" t="str">
        <f t="shared" si="25"/>
        <v>True</v>
      </c>
      <c r="AI787">
        <v>2</v>
      </c>
    </row>
    <row r="788" spans="1:35" x14ac:dyDescent="0.35">
      <c r="A788" t="s">
        <v>901</v>
      </c>
      <c r="B788" t="s">
        <v>888</v>
      </c>
      <c r="C788" t="s">
        <v>465</v>
      </c>
      <c r="D788" t="s">
        <v>34</v>
      </c>
      <c r="E788" t="s">
        <v>52</v>
      </c>
      <c r="F788" t="s">
        <v>34</v>
      </c>
      <c r="G788" t="s">
        <v>37</v>
      </c>
      <c r="H788" t="s">
        <v>35</v>
      </c>
      <c r="I788" t="s">
        <v>35</v>
      </c>
      <c r="J788" t="s">
        <v>37</v>
      </c>
      <c r="K788" t="s">
        <v>35</v>
      </c>
      <c r="L788" t="s">
        <v>35</v>
      </c>
      <c r="M788" t="s">
        <v>35</v>
      </c>
      <c r="N788" t="s">
        <v>35</v>
      </c>
      <c r="O788" t="str">
        <f t="shared" si="26"/>
        <v>True</v>
      </c>
      <c r="P788" s="3">
        <v>95808.619364043596</v>
      </c>
      <c r="Q788" s="3">
        <v>0</v>
      </c>
      <c r="R788" s="3">
        <v>0</v>
      </c>
      <c r="S788" s="3">
        <v>10254.016925277199</v>
      </c>
      <c r="T788" s="3">
        <v>760.37264550689713</v>
      </c>
      <c r="U788">
        <v>4.0184151531159701E-2</v>
      </c>
      <c r="V788" s="3">
        <v>-80601.166453905651</v>
      </c>
      <c r="W788">
        <v>126.0021910706341</v>
      </c>
      <c r="X788">
        <v>4.1016067701108776</v>
      </c>
      <c r="Y788">
        <v>0.30414905820275878</v>
      </c>
      <c r="Z788" s="5">
        <v>6.9034478998618504E-2</v>
      </c>
      <c r="AA788">
        <v>9.4725329563761633</v>
      </c>
      <c r="AB788">
        <v>51.919073039378212</v>
      </c>
      <c r="AC788">
        <v>3.8499880785159348</v>
      </c>
      <c r="AD788" s="5">
        <v>6.9034478998618407E-2</v>
      </c>
      <c r="AE788">
        <v>119.9054804604578</v>
      </c>
      <c r="AF788">
        <v>8.891427433062205</v>
      </c>
      <c r="AG788">
        <v>0.70242276721191743</v>
      </c>
      <c r="AH788" t="str">
        <f t="shared" si="25"/>
        <v>True</v>
      </c>
      <c r="AI788">
        <v>2</v>
      </c>
    </row>
    <row r="789" spans="1:35" x14ac:dyDescent="0.35">
      <c r="A789" t="s">
        <v>902</v>
      </c>
      <c r="B789" t="s">
        <v>888</v>
      </c>
      <c r="C789" t="s">
        <v>465</v>
      </c>
      <c r="D789" t="s">
        <v>34</v>
      </c>
      <c r="E789" t="s">
        <v>52</v>
      </c>
      <c r="F789" t="s">
        <v>34</v>
      </c>
      <c r="G789" t="s">
        <v>35</v>
      </c>
      <c r="H789" t="s">
        <v>37</v>
      </c>
      <c r="I789" t="s">
        <v>35</v>
      </c>
      <c r="J789" t="s">
        <v>37</v>
      </c>
      <c r="K789" t="s">
        <v>37</v>
      </c>
      <c r="L789" t="s">
        <v>35</v>
      </c>
      <c r="M789" t="s">
        <v>35</v>
      </c>
      <c r="N789" t="s">
        <v>35</v>
      </c>
      <c r="O789" t="str">
        <f t="shared" si="26"/>
        <v>True</v>
      </c>
      <c r="P789" s="3">
        <v>156803.31428447089</v>
      </c>
      <c r="Q789" s="3">
        <v>0</v>
      </c>
      <c r="R789" s="3">
        <v>0</v>
      </c>
      <c r="S789" s="3">
        <v>9777.3131632070545</v>
      </c>
      <c r="T789" s="3">
        <v>1237.0764075770389</v>
      </c>
      <c r="U789">
        <v>3.9946081762562702E-2</v>
      </c>
      <c r="V789" s="3">
        <v>-132061.78613293011</v>
      </c>
      <c r="W789">
        <v>126.7531361232479</v>
      </c>
      <c r="X789">
        <v>3.9109252652828221</v>
      </c>
      <c r="Y789">
        <v>0.49483056303081518</v>
      </c>
      <c r="Z789" s="5">
        <v>0.112314568104474</v>
      </c>
      <c r="AA789">
        <v>9.032159966011136</v>
      </c>
      <c r="AB789">
        <v>49.505383104845848</v>
      </c>
      <c r="AC789">
        <v>6.263678013048299</v>
      </c>
      <c r="AD789" s="5">
        <v>0.1123145681044741</v>
      </c>
      <c r="AE789">
        <v>114.3311388102675</v>
      </c>
      <c r="AF789">
        <v>14.46576908325242</v>
      </c>
      <c r="AG789">
        <v>1.142795757576945</v>
      </c>
      <c r="AH789" t="str">
        <f t="shared" si="25"/>
        <v>True</v>
      </c>
      <c r="AI789">
        <v>2</v>
      </c>
    </row>
    <row r="790" spans="1:35" x14ac:dyDescent="0.35">
      <c r="A790" t="s">
        <v>903</v>
      </c>
      <c r="B790" t="s">
        <v>888</v>
      </c>
      <c r="C790" t="s">
        <v>465</v>
      </c>
      <c r="D790" t="s">
        <v>34</v>
      </c>
      <c r="E790" t="s">
        <v>52</v>
      </c>
      <c r="F790" t="s">
        <v>34</v>
      </c>
      <c r="G790" t="s">
        <v>35</v>
      </c>
      <c r="H790" t="s">
        <v>37</v>
      </c>
      <c r="I790" t="s">
        <v>35</v>
      </c>
      <c r="J790" t="s">
        <v>37</v>
      </c>
      <c r="K790" t="s">
        <v>35</v>
      </c>
      <c r="L790" t="s">
        <v>37</v>
      </c>
      <c r="M790" t="s">
        <v>35</v>
      </c>
      <c r="N790" t="s">
        <v>35</v>
      </c>
      <c r="O790" t="str">
        <f t="shared" si="26"/>
        <v>True</v>
      </c>
      <c r="P790" s="3">
        <v>183773.6990296366</v>
      </c>
      <c r="Q790" s="3">
        <v>0</v>
      </c>
      <c r="R790" s="3">
        <v>0</v>
      </c>
      <c r="S790" s="3">
        <v>9572.8133381103962</v>
      </c>
      <c r="T790" s="3">
        <v>1441.576232673699</v>
      </c>
      <c r="U790">
        <v>3.9717980342003897E-2</v>
      </c>
      <c r="V790" s="3">
        <v>-154942.17437616261</v>
      </c>
      <c r="W790">
        <v>127.4810827650721</v>
      </c>
      <c r="X790">
        <v>3.8291253352441581</v>
      </c>
      <c r="Y790">
        <v>0.57663049306947922</v>
      </c>
      <c r="Z790" s="5">
        <v>0.13088117352390641</v>
      </c>
      <c r="AA790">
        <v>8.8432455779310803</v>
      </c>
      <c r="AB790">
        <v>48.469940952457698</v>
      </c>
      <c r="AC790">
        <v>7.2991201654364488</v>
      </c>
      <c r="AD790" s="5">
        <v>0.13088117352390649</v>
      </c>
      <c r="AE790">
        <v>111.93981744216561</v>
      </c>
      <c r="AF790">
        <v>16.857090451354381</v>
      </c>
      <c r="AG790">
        <v>1.331710145657</v>
      </c>
      <c r="AH790" t="str">
        <f t="shared" si="25"/>
        <v>True</v>
      </c>
      <c r="AI790">
        <v>2</v>
      </c>
    </row>
    <row r="791" spans="1:35" x14ac:dyDescent="0.35">
      <c r="A791" t="s">
        <v>904</v>
      </c>
      <c r="B791" t="s">
        <v>905</v>
      </c>
      <c r="C791" t="s">
        <v>33</v>
      </c>
      <c r="D791" t="s">
        <v>281</v>
      </c>
      <c r="E791" t="s">
        <v>39</v>
      </c>
      <c r="F791" t="s">
        <v>281</v>
      </c>
      <c r="G791" t="s">
        <v>35</v>
      </c>
      <c r="H791" t="s">
        <v>35</v>
      </c>
      <c r="I791" t="s">
        <v>35</v>
      </c>
      <c r="J791" t="s">
        <v>35</v>
      </c>
      <c r="K791" t="s">
        <v>35</v>
      </c>
      <c r="L791" t="s">
        <v>35</v>
      </c>
      <c r="M791" t="s">
        <v>35</v>
      </c>
      <c r="N791" t="s">
        <v>35</v>
      </c>
      <c r="O791" t="str">
        <f t="shared" si="26"/>
        <v>False</v>
      </c>
      <c r="P791" s="3">
        <v>0</v>
      </c>
      <c r="Q791" s="3">
        <v>0</v>
      </c>
      <c r="R791" s="3">
        <v>0</v>
      </c>
      <c r="S791" s="3">
        <v>12764.50445669536</v>
      </c>
      <c r="T791" s="3">
        <v>0</v>
      </c>
      <c r="U791">
        <v>0</v>
      </c>
      <c r="V791" s="3">
        <v>0</v>
      </c>
      <c r="W791">
        <v>0</v>
      </c>
      <c r="X791">
        <v>5.1058017826781459</v>
      </c>
      <c r="Y791">
        <v>0</v>
      </c>
      <c r="Z791" s="5">
        <v>0</v>
      </c>
      <c r="AA791">
        <v>15.61407272990259</v>
      </c>
      <c r="AB791">
        <v>64.630402312381591</v>
      </c>
      <c r="AC791">
        <v>0</v>
      </c>
      <c r="AD791" s="5">
        <v>0</v>
      </c>
      <c r="AE791">
        <v>197.64649025193151</v>
      </c>
      <c r="AF791">
        <v>0</v>
      </c>
      <c r="AG791">
        <v>3.5527136788005009E-15</v>
      </c>
      <c r="AH791" t="str">
        <f t="shared" si="25"/>
        <v>False</v>
      </c>
      <c r="AI791">
        <v>0</v>
      </c>
    </row>
    <row r="792" spans="1:35" x14ac:dyDescent="0.35">
      <c r="A792" t="s">
        <v>906</v>
      </c>
      <c r="B792" t="s">
        <v>905</v>
      </c>
      <c r="C792" t="s">
        <v>33</v>
      </c>
      <c r="D792" t="s">
        <v>281</v>
      </c>
      <c r="E792" t="s">
        <v>39</v>
      </c>
      <c r="F792" t="s">
        <v>281</v>
      </c>
      <c r="G792" t="s">
        <v>37</v>
      </c>
      <c r="H792" t="s">
        <v>35</v>
      </c>
      <c r="I792" t="s">
        <v>35</v>
      </c>
      <c r="J792" t="s">
        <v>35</v>
      </c>
      <c r="K792" t="s">
        <v>35</v>
      </c>
      <c r="L792" t="s">
        <v>35</v>
      </c>
      <c r="M792" t="s">
        <v>35</v>
      </c>
      <c r="N792" t="s">
        <v>35</v>
      </c>
      <c r="O792" t="str">
        <f t="shared" si="26"/>
        <v>False</v>
      </c>
      <c r="P792" s="3">
        <v>38503.605912924373</v>
      </c>
      <c r="Q792" s="3">
        <v>0</v>
      </c>
      <c r="R792" s="3">
        <v>0</v>
      </c>
      <c r="S792" s="3">
        <v>12385.493235316429</v>
      </c>
      <c r="T792" s="3">
        <v>379.01122137893577</v>
      </c>
      <c r="U792">
        <v>4.9840634750433301E-2</v>
      </c>
      <c r="V792" s="3">
        <v>-30923.381485345661</v>
      </c>
      <c r="W792">
        <v>101.5896198873448</v>
      </c>
      <c r="X792">
        <v>4.9541972941265717</v>
      </c>
      <c r="Y792">
        <v>0.15160448855157421</v>
      </c>
      <c r="Z792" s="5">
        <v>2.9692591879674001E-2</v>
      </c>
      <c r="AA792">
        <v>15.150450440754041</v>
      </c>
      <c r="AB792">
        <v>62.711358153500903</v>
      </c>
      <c r="AC792">
        <v>1.9190441588806879</v>
      </c>
      <c r="AD792" s="5">
        <v>2.9692591879674001E-2</v>
      </c>
      <c r="AE792">
        <v>191.77785368043089</v>
      </c>
      <c r="AF792">
        <v>5.8686365715005744</v>
      </c>
      <c r="AG792">
        <v>0.46362228914854597</v>
      </c>
      <c r="AH792" t="str">
        <f t="shared" si="25"/>
        <v>True</v>
      </c>
      <c r="AI792">
        <v>2</v>
      </c>
    </row>
    <row r="793" spans="1:35" x14ac:dyDescent="0.35">
      <c r="A793" t="s">
        <v>907</v>
      </c>
      <c r="B793" t="s">
        <v>905</v>
      </c>
      <c r="C793" t="s">
        <v>33</v>
      </c>
      <c r="D793" t="s">
        <v>281</v>
      </c>
      <c r="E793" t="s">
        <v>39</v>
      </c>
      <c r="F793" t="s">
        <v>281</v>
      </c>
      <c r="G793" t="s">
        <v>37</v>
      </c>
      <c r="H793" t="s">
        <v>35</v>
      </c>
      <c r="I793" t="s">
        <v>35</v>
      </c>
      <c r="J793" t="s">
        <v>35</v>
      </c>
      <c r="K793" t="s">
        <v>37</v>
      </c>
      <c r="L793" t="s">
        <v>35</v>
      </c>
      <c r="M793" t="s">
        <v>35</v>
      </c>
      <c r="N793" t="s">
        <v>35</v>
      </c>
      <c r="O793" t="str">
        <f t="shared" si="26"/>
        <v>True</v>
      </c>
      <c r="P793" s="3">
        <v>169732.86386919409</v>
      </c>
      <c r="Q793" s="3">
        <v>0</v>
      </c>
      <c r="R793" s="3">
        <v>0</v>
      </c>
      <c r="S793" s="3">
        <v>12115.7915525635</v>
      </c>
      <c r="T793" s="3">
        <v>648.71290413186603</v>
      </c>
      <c r="U793">
        <v>1.9351716718414399E-2</v>
      </c>
      <c r="V793" s="3">
        <v>-156758.60578655679</v>
      </c>
      <c r="W793">
        <v>261.64557971347512</v>
      </c>
      <c r="X793">
        <v>4.846316621025399</v>
      </c>
      <c r="Y793">
        <v>0.25948516165274688</v>
      </c>
      <c r="Z793" s="5">
        <v>5.0821628550695302E-2</v>
      </c>
      <c r="AA793">
        <v>14.82054012545994</v>
      </c>
      <c r="AB793">
        <v>61.345780012979738</v>
      </c>
      <c r="AC793">
        <v>3.2846222994018528</v>
      </c>
      <c r="AD793" s="5">
        <v>5.0821628550695198E-2</v>
      </c>
      <c r="AE793">
        <v>187.6017737399992</v>
      </c>
      <c r="AF793">
        <v>10.04471651193227</v>
      </c>
      <c r="AG793">
        <v>0.79353260444265317</v>
      </c>
      <c r="AH793" t="str">
        <f t="shared" si="25"/>
        <v>True</v>
      </c>
      <c r="AI793">
        <v>4</v>
      </c>
    </row>
    <row r="794" spans="1:35" x14ac:dyDescent="0.35">
      <c r="A794" t="s">
        <v>908</v>
      </c>
      <c r="B794" t="s">
        <v>905</v>
      </c>
      <c r="C794" t="s">
        <v>33</v>
      </c>
      <c r="D794" t="s">
        <v>281</v>
      </c>
      <c r="E794" t="s">
        <v>39</v>
      </c>
      <c r="F794" t="s">
        <v>281</v>
      </c>
      <c r="G794" t="s">
        <v>35</v>
      </c>
      <c r="H794" t="s">
        <v>35</v>
      </c>
      <c r="I794" t="s">
        <v>35</v>
      </c>
      <c r="J794" t="s">
        <v>35</v>
      </c>
      <c r="K794" t="s">
        <v>37</v>
      </c>
      <c r="L794" t="s">
        <v>35</v>
      </c>
      <c r="M794" t="s">
        <v>35</v>
      </c>
      <c r="N794" t="s">
        <v>35</v>
      </c>
      <c r="O794" t="str">
        <f t="shared" si="26"/>
        <v>False</v>
      </c>
      <c r="P794" s="3">
        <v>131229.25795626969</v>
      </c>
      <c r="Q794" s="3">
        <v>0</v>
      </c>
      <c r="R794" s="3">
        <v>0</v>
      </c>
      <c r="S794" s="3">
        <v>12402.016327657389</v>
      </c>
      <c r="T794" s="3">
        <v>362.48812903796949</v>
      </c>
      <c r="U794">
        <v>1.39860802417204E-2</v>
      </c>
      <c r="V794" s="3">
        <v>-123979.49537551031</v>
      </c>
      <c r="W794">
        <v>362.02360144743898</v>
      </c>
      <c r="X794">
        <v>4.9608065310629579</v>
      </c>
      <c r="Y794">
        <v>0.144995251615188</v>
      </c>
      <c r="Z794" s="5">
        <v>2.8398135647783301E-2</v>
      </c>
      <c r="AA794">
        <v>15.170662174504461</v>
      </c>
      <c r="AB794">
        <v>62.795019380543771</v>
      </c>
      <c r="AC794">
        <v>1.8353829318378201</v>
      </c>
      <c r="AD794" s="5">
        <v>2.8398135647783301E-2</v>
      </c>
      <c r="AE794">
        <v>192.03369841144891</v>
      </c>
      <c r="AF794">
        <v>5.6127918404826307</v>
      </c>
      <c r="AG794">
        <v>0.44341055539813112</v>
      </c>
      <c r="AH794" t="str">
        <f t="shared" si="25"/>
        <v>False</v>
      </c>
      <c r="AI794">
        <v>4</v>
      </c>
    </row>
    <row r="795" spans="1:35" x14ac:dyDescent="0.35">
      <c r="A795" t="s">
        <v>909</v>
      </c>
      <c r="B795" t="s">
        <v>905</v>
      </c>
      <c r="C795" t="s">
        <v>33</v>
      </c>
      <c r="D795" t="s">
        <v>281</v>
      </c>
      <c r="E795" t="s">
        <v>39</v>
      </c>
      <c r="F795" t="s">
        <v>281</v>
      </c>
      <c r="G795" t="s">
        <v>37</v>
      </c>
      <c r="H795" t="s">
        <v>35</v>
      </c>
      <c r="I795" t="s">
        <v>35</v>
      </c>
      <c r="J795" t="s">
        <v>37</v>
      </c>
      <c r="K795" t="s">
        <v>37</v>
      </c>
      <c r="L795" t="s">
        <v>35</v>
      </c>
      <c r="M795" t="s">
        <v>35</v>
      </c>
      <c r="N795" t="s">
        <v>35</v>
      </c>
      <c r="O795" t="str">
        <f t="shared" si="26"/>
        <v>True</v>
      </c>
      <c r="P795" s="3">
        <v>246740.07569504279</v>
      </c>
      <c r="Q795" s="3">
        <v>0</v>
      </c>
      <c r="R795" s="3">
        <v>0</v>
      </c>
      <c r="S795" s="3">
        <v>12298.694238848489</v>
      </c>
      <c r="T795" s="3">
        <v>465.8102178468788</v>
      </c>
      <c r="U795">
        <v>9.5587745198992009E-3</v>
      </c>
      <c r="V795" s="3">
        <v>-237423.87133810521</v>
      </c>
      <c r="W795">
        <v>529.7008658065788</v>
      </c>
      <c r="X795">
        <v>4.9194776955393946</v>
      </c>
      <c r="Y795">
        <v>0.18632408713875129</v>
      </c>
      <c r="Z795" s="5">
        <v>3.6492620565661403E-2</v>
      </c>
      <c r="AA795">
        <v>15.044274298285609</v>
      </c>
      <c r="AB795">
        <v>62.271869563789799</v>
      </c>
      <c r="AC795">
        <v>2.358532748591792</v>
      </c>
      <c r="AD795" s="5">
        <v>3.6492620565661403E-2</v>
      </c>
      <c r="AE795">
        <v>190.43385187703299</v>
      </c>
      <c r="AF795">
        <v>7.2126383748984448</v>
      </c>
      <c r="AG795">
        <v>0.56979843161697907</v>
      </c>
      <c r="AH795" t="str">
        <f t="shared" si="25"/>
        <v>True</v>
      </c>
      <c r="AI795">
        <v>4</v>
      </c>
    </row>
    <row r="796" spans="1:35" x14ac:dyDescent="0.35">
      <c r="A796" t="s">
        <v>910</v>
      </c>
      <c r="B796" t="s">
        <v>905</v>
      </c>
      <c r="C796" t="s">
        <v>33</v>
      </c>
      <c r="D796" t="s">
        <v>281</v>
      </c>
      <c r="E796" t="s">
        <v>39</v>
      </c>
      <c r="F796" t="s">
        <v>281</v>
      </c>
      <c r="G796" t="s">
        <v>37</v>
      </c>
      <c r="H796" t="s">
        <v>35</v>
      </c>
      <c r="I796" t="s">
        <v>35</v>
      </c>
      <c r="J796" t="s">
        <v>37</v>
      </c>
      <c r="K796" t="s">
        <v>35</v>
      </c>
      <c r="L796" t="s">
        <v>35</v>
      </c>
      <c r="M796" t="s">
        <v>35</v>
      </c>
      <c r="N796" t="s">
        <v>35</v>
      </c>
      <c r="O796" t="str">
        <f t="shared" si="26"/>
        <v>True</v>
      </c>
      <c r="P796" s="3">
        <v>115510.8177387731</v>
      </c>
      <c r="Q796" s="3">
        <v>0</v>
      </c>
      <c r="R796" s="3">
        <v>0</v>
      </c>
      <c r="S796" s="3">
        <v>12576.24940984943</v>
      </c>
      <c r="T796" s="3">
        <v>188.2550468459329</v>
      </c>
      <c r="U796">
        <v>8.2519553516446006E-3</v>
      </c>
      <c r="V796" s="3">
        <v>-111745.7168018544</v>
      </c>
      <c r="W796">
        <v>613.58683166303967</v>
      </c>
      <c r="X796">
        <v>5.0304997639397726</v>
      </c>
      <c r="Y796">
        <v>7.5302018738373194E-2</v>
      </c>
      <c r="Z796" s="5">
        <v>1.47483239544945E-2</v>
      </c>
      <c r="AA796">
        <v>15.38379132703294</v>
      </c>
      <c r="AB796">
        <v>63.677212201769272</v>
      </c>
      <c r="AC796">
        <v>0.95319011061231862</v>
      </c>
      <c r="AD796" s="5">
        <v>1.47483239544945E-2</v>
      </c>
      <c r="AE796">
        <v>194.73153578522721</v>
      </c>
      <c r="AF796">
        <v>2.914954466704339</v>
      </c>
      <c r="AG796">
        <v>0.23028140286964671</v>
      </c>
      <c r="AH796" t="str">
        <f t="shared" si="25"/>
        <v>True</v>
      </c>
      <c r="AI796">
        <v>2</v>
      </c>
    </row>
    <row r="797" spans="1:35" x14ac:dyDescent="0.35">
      <c r="A797" t="s">
        <v>911</v>
      </c>
      <c r="B797" t="s">
        <v>905</v>
      </c>
      <c r="C797" t="s">
        <v>33</v>
      </c>
      <c r="D797" t="s">
        <v>281</v>
      </c>
      <c r="E797" t="s">
        <v>39</v>
      </c>
      <c r="F797" t="s">
        <v>281</v>
      </c>
      <c r="G797" t="s">
        <v>35</v>
      </c>
      <c r="H797" t="s">
        <v>35</v>
      </c>
      <c r="I797" t="s">
        <v>35</v>
      </c>
      <c r="J797" t="s">
        <v>37</v>
      </c>
      <c r="K797" t="s">
        <v>37</v>
      </c>
      <c r="L797" t="s">
        <v>35</v>
      </c>
      <c r="M797" t="s">
        <v>35</v>
      </c>
      <c r="N797" t="s">
        <v>35</v>
      </c>
      <c r="O797" t="str">
        <f t="shared" si="26"/>
        <v>True</v>
      </c>
      <c r="P797" s="3">
        <v>208236.46978211851</v>
      </c>
      <c r="Q797" s="3">
        <v>0</v>
      </c>
      <c r="R797" s="3">
        <v>0</v>
      </c>
      <c r="S797" s="3">
        <v>12587.66417879785</v>
      </c>
      <c r="T797" s="3">
        <v>176.84027789751249</v>
      </c>
      <c r="U797">
        <v>4.2998895105942E-3</v>
      </c>
      <c r="V797" s="3">
        <v>-204699.66422416829</v>
      </c>
      <c r="W797">
        <v>1177.5398243990639</v>
      </c>
      <c r="X797">
        <v>5.0350656715191411</v>
      </c>
      <c r="Y797">
        <v>7.07361111590048E-2</v>
      </c>
      <c r="Z797" s="5">
        <v>1.38540652711946E-2</v>
      </c>
      <c r="AA797">
        <v>15.39775434715334</v>
      </c>
      <c r="AB797">
        <v>63.735008500242287</v>
      </c>
      <c r="AC797">
        <v>0.89539381213930369</v>
      </c>
      <c r="AD797" s="5">
        <v>1.38540652711946E-2</v>
      </c>
      <c r="AE797">
        <v>194.90828287535871</v>
      </c>
      <c r="AF797">
        <v>2.7382073765727939</v>
      </c>
      <c r="AG797">
        <v>0.21631838274925391</v>
      </c>
      <c r="AH797" t="str">
        <f t="shared" si="25"/>
        <v>True</v>
      </c>
      <c r="AI797">
        <v>4</v>
      </c>
    </row>
    <row r="798" spans="1:35" x14ac:dyDescent="0.35">
      <c r="A798" t="s">
        <v>912</v>
      </c>
      <c r="B798" t="s">
        <v>905</v>
      </c>
      <c r="C798" t="s">
        <v>33</v>
      </c>
      <c r="D798" t="s">
        <v>281</v>
      </c>
      <c r="E798" t="s">
        <v>39</v>
      </c>
      <c r="F798" t="s">
        <v>281</v>
      </c>
      <c r="G798" t="s">
        <v>35</v>
      </c>
      <c r="H798" t="s">
        <v>37</v>
      </c>
      <c r="I798" t="s">
        <v>35</v>
      </c>
      <c r="J798" t="s">
        <v>35</v>
      </c>
      <c r="K798" t="s">
        <v>37</v>
      </c>
      <c r="L798" t="s">
        <v>35</v>
      </c>
      <c r="M798" t="s">
        <v>35</v>
      </c>
      <c r="N798" t="s">
        <v>35</v>
      </c>
      <c r="O798" t="str">
        <f t="shared" si="26"/>
        <v>True</v>
      </c>
      <c r="P798" s="3">
        <v>223637.91214728821</v>
      </c>
      <c r="Q798" s="3">
        <v>0</v>
      </c>
      <c r="R798" s="3">
        <v>0</v>
      </c>
      <c r="S798" s="3">
        <v>12580.034486259159</v>
      </c>
      <c r="T798" s="3">
        <v>184.4699704362047</v>
      </c>
      <c r="U798">
        <v>4.1765063794301002E-3</v>
      </c>
      <c r="V798" s="3">
        <v>-219948.51273856411</v>
      </c>
      <c r="W798">
        <v>1212.326925723821</v>
      </c>
      <c r="X798">
        <v>5.0320137945036638</v>
      </c>
      <c r="Y798">
        <v>7.3787988174481997E-2</v>
      </c>
      <c r="Z798" s="5">
        <v>1.44517925519188E-2</v>
      </c>
      <c r="AA798">
        <v>15.38842138991946</v>
      </c>
      <c r="AB798">
        <v>63.696377145615998</v>
      </c>
      <c r="AC798">
        <v>0.93402516676559344</v>
      </c>
      <c r="AD798" s="5">
        <v>1.44517925519188E-2</v>
      </c>
      <c r="AE798">
        <v>194.7901441761957</v>
      </c>
      <c r="AF798">
        <v>2.8563460757357602</v>
      </c>
      <c r="AG798">
        <v>0.22565133998312881</v>
      </c>
      <c r="AH798" t="str">
        <f t="shared" si="25"/>
        <v>False</v>
      </c>
      <c r="AI798">
        <v>4</v>
      </c>
    </row>
    <row r="799" spans="1:35" x14ac:dyDescent="0.35">
      <c r="A799" t="s">
        <v>913</v>
      </c>
      <c r="B799" t="s">
        <v>914</v>
      </c>
      <c r="C799" t="s">
        <v>465</v>
      </c>
      <c r="D799" t="s">
        <v>39</v>
      </c>
      <c r="E799" t="s">
        <v>77</v>
      </c>
      <c r="F799" t="s">
        <v>39</v>
      </c>
      <c r="G799" t="s">
        <v>35</v>
      </c>
      <c r="H799" t="s">
        <v>35</v>
      </c>
      <c r="I799" t="s">
        <v>35</v>
      </c>
      <c r="J799" t="s">
        <v>35</v>
      </c>
      <c r="K799" t="s">
        <v>35</v>
      </c>
      <c r="L799" t="s">
        <v>35</v>
      </c>
      <c r="M799" t="s">
        <v>35</v>
      </c>
      <c r="N799" t="s">
        <v>35</v>
      </c>
      <c r="O799" t="str">
        <f t="shared" si="26"/>
        <v>False</v>
      </c>
      <c r="P799" s="3">
        <v>0</v>
      </c>
      <c r="Q799" s="3">
        <v>0</v>
      </c>
      <c r="R799" s="3">
        <v>0</v>
      </c>
      <c r="S799" s="3">
        <v>1348.279325221099</v>
      </c>
      <c r="T799" s="3">
        <v>0</v>
      </c>
      <c r="U799">
        <v>0</v>
      </c>
      <c r="V799" s="3">
        <v>0</v>
      </c>
      <c r="W799">
        <v>0</v>
      </c>
      <c r="X799">
        <v>0.44999605700239459</v>
      </c>
      <c r="Y799">
        <v>0</v>
      </c>
      <c r="Z799" s="5">
        <v>0</v>
      </c>
      <c r="AA799">
        <v>4.499960570023946</v>
      </c>
      <c r="AB799">
        <v>5.6961526202834758</v>
      </c>
      <c r="AC799">
        <v>0</v>
      </c>
      <c r="AD799" s="5">
        <v>0</v>
      </c>
      <c r="AE799">
        <v>56.961526202834747</v>
      </c>
      <c r="AF799">
        <v>0</v>
      </c>
      <c r="AG799">
        <v>0</v>
      </c>
      <c r="AH799" t="str">
        <f t="shared" si="25"/>
        <v>False</v>
      </c>
      <c r="AI799">
        <v>0</v>
      </c>
    </row>
    <row r="800" spans="1:35" x14ac:dyDescent="0.35">
      <c r="A800" t="s">
        <v>915</v>
      </c>
      <c r="B800" t="s">
        <v>914</v>
      </c>
      <c r="C800" t="s">
        <v>465</v>
      </c>
      <c r="D800" t="s">
        <v>52</v>
      </c>
      <c r="E800" t="s">
        <v>77</v>
      </c>
      <c r="F800" t="s">
        <v>52</v>
      </c>
      <c r="G800" t="s">
        <v>37</v>
      </c>
      <c r="H800" t="s">
        <v>35</v>
      </c>
      <c r="I800" t="s">
        <v>35</v>
      </c>
      <c r="J800" t="s">
        <v>35</v>
      </c>
      <c r="K800" t="s">
        <v>35</v>
      </c>
      <c r="L800" t="s">
        <v>35</v>
      </c>
      <c r="M800" t="s">
        <v>35</v>
      </c>
      <c r="N800" t="s">
        <v>35</v>
      </c>
      <c r="O800" t="str">
        <f t="shared" si="26"/>
        <v>False</v>
      </c>
      <c r="P800" s="3">
        <v>6735.6568326403212</v>
      </c>
      <c r="Q800" s="3">
        <v>0</v>
      </c>
      <c r="R800" s="3">
        <v>0</v>
      </c>
      <c r="S800" s="3">
        <v>876.70296623732679</v>
      </c>
      <c r="T800" s="3">
        <v>471.57635898377191</v>
      </c>
      <c r="U800">
        <v>0.29578341195431562</v>
      </c>
      <c r="V800" s="3">
        <v>2695.8703470351161</v>
      </c>
      <c r="W800">
        <v>14.28327927030819</v>
      </c>
      <c r="X800">
        <v>0.29260470778516612</v>
      </c>
      <c r="Y800">
        <v>0.1573913492172285</v>
      </c>
      <c r="Z800" s="5">
        <v>0.34976161850322818</v>
      </c>
      <c r="AA800">
        <v>2.9260470778516612</v>
      </c>
      <c r="AB800">
        <v>3.7038570605717229</v>
      </c>
      <c r="AC800">
        <v>1.9922955597117531</v>
      </c>
      <c r="AD800" s="5">
        <v>0.34976161850322818</v>
      </c>
      <c r="AE800">
        <v>37.038570605717233</v>
      </c>
      <c r="AF800">
        <v>19.922955597117529</v>
      </c>
      <c r="AG800">
        <v>1.573913492172285</v>
      </c>
      <c r="AH800" t="str">
        <f t="shared" si="25"/>
        <v>True</v>
      </c>
      <c r="AI800">
        <v>1</v>
      </c>
    </row>
    <row r="801" spans="1:35" x14ac:dyDescent="0.35">
      <c r="A801" t="s">
        <v>916</v>
      </c>
      <c r="B801" t="s">
        <v>914</v>
      </c>
      <c r="C801" t="s">
        <v>465</v>
      </c>
      <c r="D801" t="s">
        <v>52</v>
      </c>
      <c r="E801" t="s">
        <v>77</v>
      </c>
      <c r="F801" t="s">
        <v>52</v>
      </c>
      <c r="G801" t="s">
        <v>37</v>
      </c>
      <c r="H801" t="s">
        <v>35</v>
      </c>
      <c r="I801" t="s">
        <v>35</v>
      </c>
      <c r="J801" t="s">
        <v>35</v>
      </c>
      <c r="K801" t="s">
        <v>37</v>
      </c>
      <c r="L801" t="s">
        <v>35</v>
      </c>
      <c r="M801" t="s">
        <v>35</v>
      </c>
      <c r="N801" t="s">
        <v>35</v>
      </c>
      <c r="O801" t="str">
        <f t="shared" si="26"/>
        <v>True</v>
      </c>
      <c r="P801" s="3">
        <v>10876.638388163081</v>
      </c>
      <c r="Q801" s="3">
        <v>0</v>
      </c>
      <c r="R801" s="3">
        <v>0</v>
      </c>
      <c r="S801" s="3">
        <v>778.7533755725658</v>
      </c>
      <c r="T801" s="3">
        <v>569.5259496485329</v>
      </c>
      <c r="U801">
        <v>0.22121805470966069</v>
      </c>
      <c r="V801" s="3">
        <v>513.88060480757667</v>
      </c>
      <c r="W801">
        <v>19.09770466977896</v>
      </c>
      <c r="X801">
        <v>0.25991346290761602</v>
      </c>
      <c r="Y801">
        <v>0.1900825940947786</v>
      </c>
      <c r="Z801" s="5">
        <v>0.42240946589842482</v>
      </c>
      <c r="AA801">
        <v>2.599134629076159</v>
      </c>
      <c r="AB801">
        <v>3.2900438342736198</v>
      </c>
      <c r="AC801">
        <v>2.406108786009856</v>
      </c>
      <c r="AD801" s="5">
        <v>0.42240946589842482</v>
      </c>
      <c r="AE801">
        <v>32.900438342736187</v>
      </c>
      <c r="AF801">
        <v>24.06108786009856</v>
      </c>
      <c r="AG801">
        <v>1.900825940947787</v>
      </c>
      <c r="AH801" t="str">
        <f t="shared" si="25"/>
        <v>True</v>
      </c>
      <c r="AI801">
        <v>1</v>
      </c>
    </row>
    <row r="802" spans="1:35" x14ac:dyDescent="0.35">
      <c r="A802" t="s">
        <v>917</v>
      </c>
      <c r="B802" t="s">
        <v>914</v>
      </c>
      <c r="C802" t="s">
        <v>465</v>
      </c>
      <c r="D802" t="s">
        <v>52</v>
      </c>
      <c r="E802" t="s">
        <v>77</v>
      </c>
      <c r="F802" t="s">
        <v>52</v>
      </c>
      <c r="G802" t="s">
        <v>37</v>
      </c>
      <c r="H802" t="s">
        <v>35</v>
      </c>
      <c r="I802" t="s">
        <v>35</v>
      </c>
      <c r="J802" t="s">
        <v>35</v>
      </c>
      <c r="K802" t="s">
        <v>35</v>
      </c>
      <c r="L802" t="s">
        <v>37</v>
      </c>
      <c r="M802" t="s">
        <v>35</v>
      </c>
      <c r="N802" t="s">
        <v>35</v>
      </c>
      <c r="O802" t="str">
        <f t="shared" si="26"/>
        <v>True</v>
      </c>
      <c r="P802" s="3">
        <v>17735.139089497639</v>
      </c>
      <c r="Q802" s="3">
        <v>0</v>
      </c>
      <c r="R802" s="3">
        <v>0</v>
      </c>
      <c r="S802" s="3">
        <v>541.42159304034806</v>
      </c>
      <c r="T802" s="3">
        <v>806.85773218075053</v>
      </c>
      <c r="U802">
        <v>0.1922047465504364</v>
      </c>
      <c r="V802" s="3">
        <v>-1597.9844458826281</v>
      </c>
      <c r="W802">
        <v>21.980503355360611</v>
      </c>
      <c r="X802">
        <v>0.18070260181743769</v>
      </c>
      <c r="Y802">
        <v>0.2692934551849569</v>
      </c>
      <c r="Z802" s="5">
        <v>0.59843514402954845</v>
      </c>
      <c r="AA802">
        <v>1.8070260181743769</v>
      </c>
      <c r="AB802">
        <v>2.2873747065498442</v>
      </c>
      <c r="AC802">
        <v>3.408777913733632</v>
      </c>
      <c r="AD802" s="5">
        <v>0.59843514402954845</v>
      </c>
      <c r="AE802">
        <v>22.873747065498439</v>
      </c>
      <c r="AF802">
        <v>34.087779137336312</v>
      </c>
      <c r="AG802">
        <v>2.6929345518495689</v>
      </c>
      <c r="AH802" t="str">
        <f t="shared" si="25"/>
        <v>True</v>
      </c>
      <c r="AI802">
        <v>1</v>
      </c>
    </row>
    <row r="803" spans="1:35" x14ac:dyDescent="0.35">
      <c r="A803" t="s">
        <v>918</v>
      </c>
      <c r="B803" t="s">
        <v>914</v>
      </c>
      <c r="C803" t="s">
        <v>465</v>
      </c>
      <c r="D803" t="s">
        <v>77</v>
      </c>
      <c r="E803" t="s">
        <v>77</v>
      </c>
      <c r="F803" t="s">
        <v>77</v>
      </c>
      <c r="G803" t="s">
        <v>37</v>
      </c>
      <c r="H803" t="s">
        <v>35</v>
      </c>
      <c r="I803" t="s">
        <v>35</v>
      </c>
      <c r="J803" t="s">
        <v>35</v>
      </c>
      <c r="K803" t="s">
        <v>37</v>
      </c>
      <c r="L803" t="s">
        <v>37</v>
      </c>
      <c r="M803" t="s">
        <v>35</v>
      </c>
      <c r="N803" t="s">
        <v>35</v>
      </c>
      <c r="O803" t="str">
        <f t="shared" si="26"/>
        <v>True</v>
      </c>
      <c r="P803" s="3">
        <v>21876.120645020401</v>
      </c>
      <c r="Q803" s="3">
        <v>0</v>
      </c>
      <c r="R803" s="3">
        <v>0</v>
      </c>
      <c r="S803" s="3">
        <v>459.64210694813522</v>
      </c>
      <c r="T803" s="3">
        <v>888.63721827296331</v>
      </c>
      <c r="U803">
        <v>0.17161527115486119</v>
      </c>
      <c r="V803" s="3">
        <v>-4103.3762795611356</v>
      </c>
      <c r="W803">
        <v>24.6176056946342</v>
      </c>
      <c r="X803">
        <v>0.1534082232737756</v>
      </c>
      <c r="Y803">
        <v>0.29658783372861902</v>
      </c>
      <c r="Z803" s="5">
        <v>0.65908985004070986</v>
      </c>
      <c r="AA803">
        <v>1.5340822327377559</v>
      </c>
      <c r="AB803">
        <v>1.9418762439718431</v>
      </c>
      <c r="AC803">
        <v>3.754276376311632</v>
      </c>
      <c r="AD803" s="5">
        <v>0.65908985004070986</v>
      </c>
      <c r="AE803">
        <v>19.418762439718432</v>
      </c>
      <c r="AF803">
        <v>37.542763763116319</v>
      </c>
      <c r="AG803">
        <v>2.9658783372861901</v>
      </c>
      <c r="AH803" t="str">
        <f t="shared" si="25"/>
        <v>True</v>
      </c>
      <c r="AI803">
        <v>1</v>
      </c>
    </row>
    <row r="804" spans="1:35" x14ac:dyDescent="0.35">
      <c r="A804" t="s">
        <v>919</v>
      </c>
      <c r="B804" t="s">
        <v>914</v>
      </c>
      <c r="C804" t="s">
        <v>465</v>
      </c>
      <c r="D804" t="s">
        <v>52</v>
      </c>
      <c r="E804" t="s">
        <v>77</v>
      </c>
      <c r="F804" t="s">
        <v>52</v>
      </c>
      <c r="G804" t="s">
        <v>35</v>
      </c>
      <c r="H804" t="s">
        <v>35</v>
      </c>
      <c r="I804" t="s">
        <v>35</v>
      </c>
      <c r="J804" t="s">
        <v>35</v>
      </c>
      <c r="K804" t="s">
        <v>35</v>
      </c>
      <c r="L804" t="s">
        <v>37</v>
      </c>
      <c r="M804" t="s">
        <v>35</v>
      </c>
      <c r="N804" t="s">
        <v>35</v>
      </c>
      <c r="O804" t="str">
        <f t="shared" si="26"/>
        <v>False</v>
      </c>
      <c r="P804" s="3">
        <v>10999.48225685732</v>
      </c>
      <c r="Q804" s="3">
        <v>0</v>
      </c>
      <c r="R804" s="3">
        <v>0</v>
      </c>
      <c r="S804" s="3">
        <v>958.16751956877079</v>
      </c>
      <c r="T804" s="3">
        <v>390.11180565232769</v>
      </c>
      <c r="U804">
        <v>0.14983683532158451</v>
      </c>
      <c r="V804" s="3">
        <v>-3197.2461438107662</v>
      </c>
      <c r="W804">
        <v>28.195717477620221</v>
      </c>
      <c r="X804">
        <v>0.31979397569046442</v>
      </c>
      <c r="Y804">
        <v>0.1302020813119302</v>
      </c>
      <c r="Z804" s="5">
        <v>0.28934049373512039</v>
      </c>
      <c r="AA804">
        <v>3.1979397569046442</v>
      </c>
      <c r="AB804">
        <v>4.0480250087400549</v>
      </c>
      <c r="AC804">
        <v>1.6481276115434209</v>
      </c>
      <c r="AD804" s="5">
        <v>0.28934049373512039</v>
      </c>
      <c r="AE804">
        <v>40.480250087400549</v>
      </c>
      <c r="AF804">
        <v>16.481276115434209</v>
      </c>
      <c r="AG804">
        <v>1.3020208131193021</v>
      </c>
      <c r="AH804" t="str">
        <f t="shared" si="25"/>
        <v>False</v>
      </c>
      <c r="AI804">
        <v>1</v>
      </c>
    </row>
    <row r="805" spans="1:35" x14ac:dyDescent="0.35">
      <c r="A805" t="s">
        <v>920</v>
      </c>
      <c r="B805" t="s">
        <v>914</v>
      </c>
      <c r="C805" t="s">
        <v>465</v>
      </c>
      <c r="D805" t="s">
        <v>52</v>
      </c>
      <c r="E805" t="s">
        <v>77</v>
      </c>
      <c r="F805" t="s">
        <v>52</v>
      </c>
      <c r="G805" t="s">
        <v>37</v>
      </c>
      <c r="H805" t="s">
        <v>35</v>
      </c>
      <c r="I805" t="s">
        <v>35</v>
      </c>
      <c r="J805" t="s">
        <v>35</v>
      </c>
      <c r="K805" t="s">
        <v>35</v>
      </c>
      <c r="L805" t="s">
        <v>35</v>
      </c>
      <c r="M805" t="s">
        <v>37</v>
      </c>
      <c r="N805" t="s">
        <v>35</v>
      </c>
      <c r="O805" t="str">
        <f t="shared" si="26"/>
        <v>True</v>
      </c>
      <c r="P805" s="3">
        <v>14396.472710357421</v>
      </c>
      <c r="Q805" s="3">
        <v>0</v>
      </c>
      <c r="R805" s="3">
        <v>0</v>
      </c>
      <c r="S805" s="3">
        <v>861.35190947311764</v>
      </c>
      <c r="T805" s="3">
        <v>486.927415747981</v>
      </c>
      <c r="U805">
        <v>0.14289264369095139</v>
      </c>
      <c r="V805" s="3">
        <v>-4657.9243953978003</v>
      </c>
      <c r="W805">
        <v>29.565952223582752</v>
      </c>
      <c r="X805">
        <v>0.28748120341519351</v>
      </c>
      <c r="Y805">
        <v>0.16251485358720111</v>
      </c>
      <c r="Z805" s="5">
        <v>0.36114728353350062</v>
      </c>
      <c r="AA805">
        <v>2.874812034151935</v>
      </c>
      <c r="AB805">
        <v>3.639002574875867</v>
      </c>
      <c r="AC805">
        <v>2.0571500454076088</v>
      </c>
      <c r="AD805" s="5">
        <v>0.36114728353350062</v>
      </c>
      <c r="AE805">
        <v>36.390025748758667</v>
      </c>
      <c r="AF805">
        <v>20.571500454076091</v>
      </c>
      <c r="AG805">
        <v>1.625148535872011</v>
      </c>
      <c r="AH805" t="str">
        <f t="shared" si="25"/>
        <v>True</v>
      </c>
      <c r="AI805">
        <v>1</v>
      </c>
    </row>
    <row r="806" spans="1:35" x14ac:dyDescent="0.35">
      <c r="A806" t="s">
        <v>921</v>
      </c>
      <c r="B806" t="s">
        <v>914</v>
      </c>
      <c r="C806" t="s">
        <v>465</v>
      </c>
      <c r="D806" t="s">
        <v>52</v>
      </c>
      <c r="E806" t="s">
        <v>77</v>
      </c>
      <c r="F806" t="s">
        <v>52</v>
      </c>
      <c r="G806" t="s">
        <v>35</v>
      </c>
      <c r="H806" t="s">
        <v>35</v>
      </c>
      <c r="I806" t="s">
        <v>35</v>
      </c>
      <c r="J806" t="s">
        <v>35</v>
      </c>
      <c r="K806" t="s">
        <v>37</v>
      </c>
      <c r="L806" t="s">
        <v>37</v>
      </c>
      <c r="M806" t="s">
        <v>35</v>
      </c>
      <c r="N806" t="s">
        <v>35</v>
      </c>
      <c r="O806" t="str">
        <f t="shared" si="26"/>
        <v>True</v>
      </c>
      <c r="P806" s="3">
        <v>15140.46381238008</v>
      </c>
      <c r="Q806" s="3">
        <v>0</v>
      </c>
      <c r="R806" s="3">
        <v>0</v>
      </c>
      <c r="S806" s="3">
        <v>856.39165421185805</v>
      </c>
      <c r="T806" s="3">
        <v>491.88767100924059</v>
      </c>
      <c r="U806">
        <v>0.13725510292653481</v>
      </c>
      <c r="V806" s="3">
        <v>-5302.7103921952657</v>
      </c>
      <c r="W806">
        <v>30.780327917785211</v>
      </c>
      <c r="X806">
        <v>0.28582568940742198</v>
      </c>
      <c r="Y806">
        <v>0.16417036759497261</v>
      </c>
      <c r="Z806" s="5">
        <v>0.36482623578654821</v>
      </c>
      <c r="AA806">
        <v>2.8582568940742199</v>
      </c>
      <c r="AB806">
        <v>3.6180467013597721</v>
      </c>
      <c r="AC806">
        <v>2.0781059189237041</v>
      </c>
      <c r="AD806" s="5">
        <v>0.36482623578654821</v>
      </c>
      <c r="AE806">
        <v>36.18046701359772</v>
      </c>
      <c r="AF806">
        <v>20.78105918923703</v>
      </c>
      <c r="AG806">
        <v>1.6417036759497261</v>
      </c>
      <c r="AH806" t="str">
        <f t="shared" si="25"/>
        <v>False</v>
      </c>
      <c r="AI806">
        <v>1</v>
      </c>
    </row>
    <row r="807" spans="1:35" x14ac:dyDescent="0.35">
      <c r="A807" t="s">
        <v>922</v>
      </c>
      <c r="B807" t="s">
        <v>914</v>
      </c>
      <c r="C807" t="s">
        <v>465</v>
      </c>
      <c r="D807" t="s">
        <v>52</v>
      </c>
      <c r="E807" t="s">
        <v>77</v>
      </c>
      <c r="F807" t="s">
        <v>52</v>
      </c>
      <c r="G807" t="s">
        <v>37</v>
      </c>
      <c r="H807" t="s">
        <v>35</v>
      </c>
      <c r="I807" t="s">
        <v>35</v>
      </c>
      <c r="J807" t="s">
        <v>35</v>
      </c>
      <c r="K807" t="s">
        <v>35</v>
      </c>
      <c r="L807" t="s">
        <v>37</v>
      </c>
      <c r="M807" t="s">
        <v>37</v>
      </c>
      <c r="N807" t="s">
        <v>35</v>
      </c>
      <c r="O807" t="str">
        <f t="shared" si="26"/>
        <v>True</v>
      </c>
      <c r="P807" s="3">
        <v>25395.95496721474</v>
      </c>
      <c r="Q807" s="3">
        <v>0</v>
      </c>
      <c r="R807" s="3">
        <v>0</v>
      </c>
      <c r="S807" s="3">
        <v>532.10126251161046</v>
      </c>
      <c r="T807" s="3">
        <v>816.17806270948824</v>
      </c>
      <c r="U807">
        <v>0.13577571902853741</v>
      </c>
      <c r="V807" s="3">
        <v>-9072.393713024976</v>
      </c>
      <c r="W807">
        <v>31.1157039468901</v>
      </c>
      <c r="X807">
        <v>0.1775918873612895</v>
      </c>
      <c r="Y807">
        <v>0.27240416964110509</v>
      </c>
      <c r="Z807" s="5">
        <v>0.60534790339208577</v>
      </c>
      <c r="AA807">
        <v>1.775918873612895</v>
      </c>
      <c r="AB807">
        <v>2.247998574193538</v>
      </c>
      <c r="AC807">
        <v>3.4481540460899378</v>
      </c>
      <c r="AD807" s="5">
        <v>0.60534790339208577</v>
      </c>
      <c r="AE807">
        <v>22.47998574193538</v>
      </c>
      <c r="AF807">
        <v>34.481540460899367</v>
      </c>
      <c r="AG807">
        <v>2.7240416964110512</v>
      </c>
      <c r="AH807" t="str">
        <f t="shared" si="25"/>
        <v>True</v>
      </c>
      <c r="AI807">
        <v>1</v>
      </c>
    </row>
    <row r="808" spans="1:35" x14ac:dyDescent="0.35">
      <c r="A808" t="s">
        <v>923</v>
      </c>
      <c r="B808" t="s">
        <v>914</v>
      </c>
      <c r="C808" t="s">
        <v>465</v>
      </c>
      <c r="D808" t="s">
        <v>39</v>
      </c>
      <c r="E808" t="s">
        <v>77</v>
      </c>
      <c r="F808" t="s">
        <v>39</v>
      </c>
      <c r="G808" t="s">
        <v>35</v>
      </c>
      <c r="H808" t="s">
        <v>35</v>
      </c>
      <c r="I808" t="s">
        <v>35</v>
      </c>
      <c r="J808" t="s">
        <v>35</v>
      </c>
      <c r="K808" t="s">
        <v>37</v>
      </c>
      <c r="L808" t="s">
        <v>35</v>
      </c>
      <c r="M808" t="s">
        <v>35</v>
      </c>
      <c r="N808" t="s">
        <v>35</v>
      </c>
      <c r="O808" t="str">
        <f t="shared" si="26"/>
        <v>False</v>
      </c>
      <c r="P808" s="3">
        <v>4140.9815555227569</v>
      </c>
      <c r="Q808" s="3">
        <v>0</v>
      </c>
      <c r="R808" s="3">
        <v>0</v>
      </c>
      <c r="S808" s="3">
        <v>1215.7270389913581</v>
      </c>
      <c r="T808" s="3">
        <v>132.55228622974079</v>
      </c>
      <c r="U808">
        <v>0.1352339298648309</v>
      </c>
      <c r="V808" s="3">
        <v>-1489.9358309279421</v>
      </c>
      <c r="W808">
        <v>31.24036312995441</v>
      </c>
      <c r="X808">
        <v>0.4057559614715559</v>
      </c>
      <c r="Y808">
        <v>4.4240095530838602E-2</v>
      </c>
      <c r="Z808" s="5">
        <v>9.8312184834551203E-2</v>
      </c>
      <c r="AA808">
        <v>4.0575596147155588</v>
      </c>
      <c r="AB808">
        <v>5.136151411032353</v>
      </c>
      <c r="AC808">
        <v>0.56000120925112284</v>
      </c>
      <c r="AD808" s="5">
        <v>9.83121848345513E-2</v>
      </c>
      <c r="AE808">
        <v>51.361514110323533</v>
      </c>
      <c r="AF808">
        <v>5.6000120925112276</v>
      </c>
      <c r="AG808">
        <v>0.44240095530838719</v>
      </c>
      <c r="AH808" t="str">
        <f t="shared" si="25"/>
        <v>False</v>
      </c>
      <c r="AI808">
        <v>1</v>
      </c>
    </row>
    <row r="809" spans="1:35" x14ac:dyDescent="0.35">
      <c r="A809" t="s">
        <v>924</v>
      </c>
      <c r="B809" t="s">
        <v>914</v>
      </c>
      <c r="C809" t="s">
        <v>465</v>
      </c>
      <c r="D809" t="s">
        <v>52</v>
      </c>
      <c r="E809" t="s">
        <v>77</v>
      </c>
      <c r="F809" t="s">
        <v>52</v>
      </c>
      <c r="G809" t="s">
        <v>37</v>
      </c>
      <c r="H809" t="s">
        <v>35</v>
      </c>
      <c r="I809" t="s">
        <v>35</v>
      </c>
      <c r="J809" t="s">
        <v>35</v>
      </c>
      <c r="K809" t="s">
        <v>37</v>
      </c>
      <c r="L809" t="s">
        <v>35</v>
      </c>
      <c r="M809" t="s">
        <v>37</v>
      </c>
      <c r="N809" t="s">
        <v>35</v>
      </c>
      <c r="O809" t="str">
        <f t="shared" si="26"/>
        <v>True</v>
      </c>
      <c r="P809" s="3">
        <v>18537.45426588018</v>
      </c>
      <c r="Q809" s="3">
        <v>0</v>
      </c>
      <c r="R809" s="3">
        <v>0</v>
      </c>
      <c r="S809" s="3">
        <v>765.27932832157171</v>
      </c>
      <c r="T809" s="3">
        <v>582.99999689952699</v>
      </c>
      <c r="U809">
        <v>0.13286794007177069</v>
      </c>
      <c r="V809" s="3">
        <v>-6877.4543278896399</v>
      </c>
      <c r="W809">
        <v>31.796662717778521</v>
      </c>
      <c r="X809">
        <v>0.25541642136630399</v>
      </c>
      <c r="Y809">
        <v>0.19457963563609049</v>
      </c>
      <c r="Z809" s="5">
        <v>0.43240297911111503</v>
      </c>
      <c r="AA809">
        <v>2.5541642136630398</v>
      </c>
      <c r="AB809">
        <v>3.233119257801317</v>
      </c>
      <c r="AC809">
        <v>2.4630333624821592</v>
      </c>
      <c r="AD809" s="5">
        <v>0.43240297911111503</v>
      </c>
      <c r="AE809">
        <v>32.331192578013173</v>
      </c>
      <c r="AF809">
        <v>24.630333624821589</v>
      </c>
      <c r="AG809">
        <v>1.945796356360906</v>
      </c>
      <c r="AH809" t="str">
        <f t="shared" si="25"/>
        <v>True</v>
      </c>
      <c r="AI809">
        <v>1</v>
      </c>
    </row>
    <row r="810" spans="1:35" x14ac:dyDescent="0.35">
      <c r="A810" t="s">
        <v>925</v>
      </c>
      <c r="B810" t="s">
        <v>914</v>
      </c>
      <c r="C810" t="s">
        <v>465</v>
      </c>
      <c r="D810" t="s">
        <v>77</v>
      </c>
      <c r="E810" t="s">
        <v>77</v>
      </c>
      <c r="F810" t="s">
        <v>77</v>
      </c>
      <c r="G810" t="s">
        <v>37</v>
      </c>
      <c r="H810" t="s">
        <v>35</v>
      </c>
      <c r="I810" t="s">
        <v>35</v>
      </c>
      <c r="J810" t="s">
        <v>35</v>
      </c>
      <c r="K810" t="s">
        <v>37</v>
      </c>
      <c r="L810" t="s">
        <v>37</v>
      </c>
      <c r="M810" t="s">
        <v>37</v>
      </c>
      <c r="N810" t="s">
        <v>35</v>
      </c>
      <c r="O810" t="str">
        <f t="shared" si="26"/>
        <v>True</v>
      </c>
      <c r="P810" s="3">
        <v>29536.936522737498</v>
      </c>
      <c r="Q810" s="3">
        <v>0</v>
      </c>
      <c r="R810" s="3">
        <v>0</v>
      </c>
      <c r="S810" s="3">
        <v>453.76781444369271</v>
      </c>
      <c r="T810" s="3">
        <v>894.51151077740599</v>
      </c>
      <c r="U810">
        <v>0.12794467808907259</v>
      </c>
      <c r="V810" s="3">
        <v>-11646.706307189381</v>
      </c>
      <c r="W810">
        <v>33.020186064534158</v>
      </c>
      <c r="X810">
        <v>0.151447644026412</v>
      </c>
      <c r="Y810">
        <v>0.29854841297598261</v>
      </c>
      <c r="Z810" s="5">
        <v>0.66344673098856477</v>
      </c>
      <c r="AA810">
        <v>1.51447644026412</v>
      </c>
      <c r="AB810">
        <v>1.917058785144456</v>
      </c>
      <c r="AC810">
        <v>3.7790938351390202</v>
      </c>
      <c r="AD810" s="5">
        <v>0.66344673098856477</v>
      </c>
      <c r="AE810">
        <v>19.170587851444559</v>
      </c>
      <c r="AF810">
        <v>37.790938351390203</v>
      </c>
      <c r="AG810">
        <v>2.985484129759826</v>
      </c>
      <c r="AH810" t="str">
        <f t="shared" si="25"/>
        <v>True</v>
      </c>
      <c r="AI810">
        <v>1</v>
      </c>
    </row>
    <row r="811" spans="1:35" x14ac:dyDescent="0.35">
      <c r="A811" t="s">
        <v>926</v>
      </c>
      <c r="B811" t="s">
        <v>914</v>
      </c>
      <c r="C811" t="s">
        <v>465</v>
      </c>
      <c r="D811" t="s">
        <v>52</v>
      </c>
      <c r="E811" t="s">
        <v>77</v>
      </c>
      <c r="F811" t="s">
        <v>52</v>
      </c>
      <c r="G811" t="s">
        <v>35</v>
      </c>
      <c r="H811" t="s">
        <v>37</v>
      </c>
      <c r="I811" t="s">
        <v>35</v>
      </c>
      <c r="J811" t="s">
        <v>35</v>
      </c>
      <c r="K811" t="s">
        <v>35</v>
      </c>
      <c r="L811" t="s">
        <v>37</v>
      </c>
      <c r="M811" t="s">
        <v>35</v>
      </c>
      <c r="N811" t="s">
        <v>35</v>
      </c>
      <c r="O811" t="str">
        <f t="shared" si="26"/>
        <v>True</v>
      </c>
      <c r="P811" s="3">
        <v>27165.058655194091</v>
      </c>
      <c r="Q811" s="3">
        <v>0</v>
      </c>
      <c r="R811" s="3">
        <v>0</v>
      </c>
      <c r="S811" s="3">
        <v>591.02628566394924</v>
      </c>
      <c r="T811" s="3">
        <v>757.25303955714946</v>
      </c>
      <c r="U811">
        <v>0.11776930718809039</v>
      </c>
      <c r="V811" s="3">
        <v>-12019.9978640511</v>
      </c>
      <c r="W811">
        <v>35.873158952363582</v>
      </c>
      <c r="X811">
        <v>0.19725845613625681</v>
      </c>
      <c r="Y811">
        <v>0.25273760086613778</v>
      </c>
      <c r="Z811" s="5">
        <v>0.56164403428271126</v>
      </c>
      <c r="AA811">
        <v>1.9725845613625681</v>
      </c>
      <c r="AB811">
        <v>2.496942482737428</v>
      </c>
      <c r="AC811">
        <v>3.1992101375460482</v>
      </c>
      <c r="AD811" s="5">
        <v>0.56164403428271126</v>
      </c>
      <c r="AE811">
        <v>24.969424827374279</v>
      </c>
      <c r="AF811">
        <v>31.992101375460479</v>
      </c>
      <c r="AG811">
        <v>2.5273760086613781</v>
      </c>
      <c r="AH811" t="str">
        <f t="shared" si="25"/>
        <v>False</v>
      </c>
      <c r="AI811">
        <v>1</v>
      </c>
    </row>
    <row r="812" spans="1:35" x14ac:dyDescent="0.35">
      <c r="A812" t="s">
        <v>927</v>
      </c>
      <c r="B812" t="s">
        <v>914</v>
      </c>
      <c r="C812" t="s">
        <v>465</v>
      </c>
      <c r="D812" t="s">
        <v>77</v>
      </c>
      <c r="E812" t="s">
        <v>77</v>
      </c>
      <c r="F812" t="s">
        <v>77</v>
      </c>
      <c r="G812" t="s">
        <v>35</v>
      </c>
      <c r="H812" t="s">
        <v>37</v>
      </c>
      <c r="I812" t="s">
        <v>35</v>
      </c>
      <c r="J812" t="s">
        <v>35</v>
      </c>
      <c r="K812" t="s">
        <v>37</v>
      </c>
      <c r="L812" t="s">
        <v>37</v>
      </c>
      <c r="M812" t="s">
        <v>35</v>
      </c>
      <c r="N812" t="s">
        <v>35</v>
      </c>
      <c r="O812" t="str">
        <f t="shared" si="26"/>
        <v>True</v>
      </c>
      <c r="P812" s="3">
        <v>31306.040210716848</v>
      </c>
      <c r="Q812" s="3">
        <v>0</v>
      </c>
      <c r="R812" s="3">
        <v>0</v>
      </c>
      <c r="S812" s="3">
        <v>509.30663772366228</v>
      </c>
      <c r="T812" s="3">
        <v>838.97268749743637</v>
      </c>
      <c r="U812">
        <v>0.1132195504321527</v>
      </c>
      <c r="V812" s="3">
        <v>-14526.58646076812</v>
      </c>
      <c r="W812">
        <v>37.31473107199632</v>
      </c>
      <c r="X812">
        <v>0.1699840489234023</v>
      </c>
      <c r="Y812">
        <v>0.28001200807899229</v>
      </c>
      <c r="Z812" s="5">
        <v>0.62225435916986771</v>
      </c>
      <c r="AA812">
        <v>1.6998404892340231</v>
      </c>
      <c r="AB812">
        <v>2.1516968218152188</v>
      </c>
      <c r="AC812">
        <v>3.544455798468257</v>
      </c>
      <c r="AD812" s="5">
        <v>0.62225435916986771</v>
      </c>
      <c r="AE812">
        <v>21.51696821815219</v>
      </c>
      <c r="AF812">
        <v>35.444557984682568</v>
      </c>
      <c r="AG812">
        <v>2.8001200807899229</v>
      </c>
      <c r="AH812" t="str">
        <f t="shared" si="25"/>
        <v>False</v>
      </c>
      <c r="AI812">
        <v>1</v>
      </c>
    </row>
    <row r="813" spans="1:35" x14ac:dyDescent="0.35">
      <c r="A813" t="s">
        <v>928</v>
      </c>
      <c r="B813" t="s">
        <v>914</v>
      </c>
      <c r="C813" t="s">
        <v>465</v>
      </c>
      <c r="D813" t="s">
        <v>52</v>
      </c>
      <c r="E813" t="s">
        <v>77</v>
      </c>
      <c r="F813" t="s">
        <v>52</v>
      </c>
      <c r="G813" t="s">
        <v>35</v>
      </c>
      <c r="H813" t="s">
        <v>37</v>
      </c>
      <c r="I813" t="s">
        <v>35</v>
      </c>
      <c r="J813" t="s">
        <v>35</v>
      </c>
      <c r="K813" t="s">
        <v>35</v>
      </c>
      <c r="L813" t="s">
        <v>35</v>
      </c>
      <c r="M813" t="s">
        <v>35</v>
      </c>
      <c r="N813" t="s">
        <v>35</v>
      </c>
      <c r="O813" t="str">
        <f t="shared" si="26"/>
        <v>False</v>
      </c>
      <c r="P813" s="3">
        <v>16165.576398336771</v>
      </c>
      <c r="Q813" s="3">
        <v>0</v>
      </c>
      <c r="R813" s="3">
        <v>0</v>
      </c>
      <c r="S813" s="3">
        <v>930.12547580977821</v>
      </c>
      <c r="T813" s="3">
        <v>418.15384941132049</v>
      </c>
      <c r="U813">
        <v>0.10928149982543239</v>
      </c>
      <c r="V813" s="3">
        <v>-7802.4994101103603</v>
      </c>
      <c r="W813">
        <v>38.659398738274838</v>
      </c>
      <c r="X813">
        <v>0.31043478068851921</v>
      </c>
      <c r="Y813">
        <v>0.13956127631387541</v>
      </c>
      <c r="Z813" s="5">
        <v>0.31013888709058801</v>
      </c>
      <c r="AA813">
        <v>3.1043478068851909</v>
      </c>
      <c r="AB813">
        <v>3.929554185930622</v>
      </c>
      <c r="AC813">
        <v>1.766598434352854</v>
      </c>
      <c r="AD813" s="5">
        <v>0.31013888709058801</v>
      </c>
      <c r="AE813">
        <v>39.295541859306219</v>
      </c>
      <c r="AF813">
        <v>17.665984343528539</v>
      </c>
      <c r="AG813">
        <v>1.3956127631387549</v>
      </c>
      <c r="AH813" t="str">
        <f t="shared" si="25"/>
        <v>False</v>
      </c>
      <c r="AI813">
        <v>1</v>
      </c>
    </row>
    <row r="814" spans="1:35" x14ac:dyDescent="0.35">
      <c r="A814" t="s">
        <v>929</v>
      </c>
      <c r="B814" t="s">
        <v>914</v>
      </c>
      <c r="C814" t="s">
        <v>465</v>
      </c>
      <c r="D814" t="s">
        <v>52</v>
      </c>
      <c r="E814" t="s">
        <v>77</v>
      </c>
      <c r="F814" t="s">
        <v>52</v>
      </c>
      <c r="G814" t="s">
        <v>35</v>
      </c>
      <c r="H814" t="s">
        <v>37</v>
      </c>
      <c r="I814" t="s">
        <v>35</v>
      </c>
      <c r="J814" t="s">
        <v>35</v>
      </c>
      <c r="K814" t="s">
        <v>37</v>
      </c>
      <c r="L814" t="s">
        <v>35</v>
      </c>
      <c r="M814" t="s">
        <v>35</v>
      </c>
      <c r="N814" t="s">
        <v>35</v>
      </c>
      <c r="O814" t="str">
        <f t="shared" si="26"/>
        <v>True</v>
      </c>
      <c r="P814" s="3">
        <v>20306.55795385953</v>
      </c>
      <c r="Q814" s="3">
        <v>0</v>
      </c>
      <c r="R814" s="3">
        <v>0</v>
      </c>
      <c r="S814" s="3">
        <v>833.22975669313871</v>
      </c>
      <c r="T814" s="3">
        <v>515.04956852795988</v>
      </c>
      <c r="U814">
        <v>0.10715549697366469</v>
      </c>
      <c r="V814" s="3">
        <v>-10005.56658330033</v>
      </c>
      <c r="W814">
        <v>39.426414843714547</v>
      </c>
      <c r="X814">
        <v>0.27809527156213759</v>
      </c>
      <c r="Y814">
        <v>0.171900785440257</v>
      </c>
      <c r="Z814" s="5">
        <v>0.38200509263427218</v>
      </c>
      <c r="AA814">
        <v>2.780952715621376</v>
      </c>
      <c r="AB814">
        <v>3.5201933109131338</v>
      </c>
      <c r="AC814">
        <v>2.175959309370342</v>
      </c>
      <c r="AD814" s="5">
        <v>0.38200509263427229</v>
      </c>
      <c r="AE814">
        <v>35.201933109131339</v>
      </c>
      <c r="AF814">
        <v>21.759593093703419</v>
      </c>
      <c r="AG814">
        <v>1.71900785440257</v>
      </c>
      <c r="AH814" t="str">
        <f t="shared" si="25"/>
        <v>False</v>
      </c>
      <c r="AI814">
        <v>1</v>
      </c>
    </row>
    <row r="815" spans="1:35" x14ac:dyDescent="0.35">
      <c r="A815" t="s">
        <v>930</v>
      </c>
      <c r="B815" t="s">
        <v>931</v>
      </c>
      <c r="C815" t="s">
        <v>33</v>
      </c>
      <c r="D815" t="s">
        <v>34</v>
      </c>
      <c r="E815" t="s">
        <v>283</v>
      </c>
      <c r="F815" t="s">
        <v>283</v>
      </c>
      <c r="G815" t="s">
        <v>35</v>
      </c>
      <c r="H815" t="s">
        <v>35</v>
      </c>
      <c r="I815" t="s">
        <v>35</v>
      </c>
      <c r="J815" t="s">
        <v>35</v>
      </c>
      <c r="K815" t="s">
        <v>35</v>
      </c>
      <c r="L815" t="s">
        <v>35</v>
      </c>
      <c r="M815" t="s">
        <v>35</v>
      </c>
      <c r="N815" t="s">
        <v>35</v>
      </c>
      <c r="O815" t="str">
        <f t="shared" si="26"/>
        <v>False</v>
      </c>
      <c r="P815" s="3">
        <v>0</v>
      </c>
      <c r="Q815" s="3">
        <v>11086.2132918636</v>
      </c>
      <c r="R815" s="3">
        <v>0</v>
      </c>
      <c r="S815" s="3">
        <v>1834.4496385642501</v>
      </c>
      <c r="T815" s="3">
        <v>0</v>
      </c>
      <c r="U815">
        <v>0</v>
      </c>
      <c r="V815" s="3">
        <v>0</v>
      </c>
      <c r="W815">
        <v>0</v>
      </c>
      <c r="X815">
        <v>29.64849241333015</v>
      </c>
      <c r="Y815">
        <v>3.5527136788005009E-15</v>
      </c>
      <c r="Z815" s="5">
        <v>1.1982780201003341E-16</v>
      </c>
      <c r="AA815">
        <v>49.414154022216913</v>
      </c>
      <c r="AB815">
        <v>135.66303003937691</v>
      </c>
      <c r="AC815">
        <v>2.8421709430404007E-14</v>
      </c>
      <c r="AD815" s="5">
        <v>2.0950224554290479E-16</v>
      </c>
      <c r="AE815">
        <v>226.10505006562809</v>
      </c>
      <c r="AF815">
        <v>4.7369515717340008E-14</v>
      </c>
      <c r="AG815">
        <v>0</v>
      </c>
      <c r="AH815" t="str">
        <f t="shared" si="25"/>
        <v>False</v>
      </c>
      <c r="AI815">
        <v>0</v>
      </c>
    </row>
    <row r="816" spans="1:35" x14ac:dyDescent="0.35">
      <c r="A816" t="s">
        <v>932</v>
      </c>
      <c r="B816" t="s">
        <v>931</v>
      </c>
      <c r="C816" t="s">
        <v>33</v>
      </c>
      <c r="D816" t="s">
        <v>34</v>
      </c>
      <c r="E816" t="s">
        <v>34</v>
      </c>
      <c r="F816" t="s">
        <v>34</v>
      </c>
      <c r="G816" t="s">
        <v>35</v>
      </c>
      <c r="H816" t="s">
        <v>35</v>
      </c>
      <c r="I816" t="s">
        <v>35</v>
      </c>
      <c r="J816" t="s">
        <v>35</v>
      </c>
      <c r="K816" t="s">
        <v>35</v>
      </c>
      <c r="L816" t="s">
        <v>35</v>
      </c>
      <c r="M816" t="s">
        <v>35</v>
      </c>
      <c r="N816" t="s">
        <v>37</v>
      </c>
      <c r="O816" t="str">
        <f t="shared" si="26"/>
        <v>False</v>
      </c>
      <c r="P816" s="3">
        <v>13299.54</v>
      </c>
      <c r="Q816" s="3">
        <v>9883.3171310261514</v>
      </c>
      <c r="R816" s="3">
        <v>1202.89616083745</v>
      </c>
      <c r="S816" s="3">
        <v>1832.9130102932579</v>
      </c>
      <c r="T816" s="3">
        <v>1.536628270991542</v>
      </c>
      <c r="U816">
        <v>1.0440608591441289</v>
      </c>
      <c r="V816" s="3">
        <v>10789.115782168819</v>
      </c>
      <c r="W816">
        <v>11.042160359852661</v>
      </c>
      <c r="X816">
        <v>26.497438092734971</v>
      </c>
      <c r="Y816">
        <v>3.1510543205951791</v>
      </c>
      <c r="Z816" s="5">
        <v>0.1062804231886828</v>
      </c>
      <c r="AA816">
        <v>44.162396821224952</v>
      </c>
      <c r="AB816">
        <v>121.7775008807552</v>
      </c>
      <c r="AC816">
        <v>13.88552915862171</v>
      </c>
      <c r="AD816" s="5">
        <v>0.10235308141496879</v>
      </c>
      <c r="AE816">
        <v>202.96250146792531</v>
      </c>
      <c r="AF816">
        <v>23.142548597702849</v>
      </c>
      <c r="AG816">
        <v>5.2517572009919604</v>
      </c>
      <c r="AH816" t="str">
        <f t="shared" si="25"/>
        <v>False</v>
      </c>
      <c r="AI816">
        <v>0</v>
      </c>
    </row>
    <row r="817" spans="1:35" x14ac:dyDescent="0.35">
      <c r="A817" t="s">
        <v>933</v>
      </c>
      <c r="B817" t="s">
        <v>931</v>
      </c>
      <c r="C817" t="s">
        <v>33</v>
      </c>
      <c r="D817" t="s">
        <v>39</v>
      </c>
      <c r="E817" t="s">
        <v>34</v>
      </c>
      <c r="F817" t="s">
        <v>34</v>
      </c>
      <c r="G817" t="s">
        <v>37</v>
      </c>
      <c r="H817" t="s">
        <v>35</v>
      </c>
      <c r="I817" t="s">
        <v>35</v>
      </c>
      <c r="J817" t="s">
        <v>35</v>
      </c>
      <c r="K817" t="s">
        <v>35</v>
      </c>
      <c r="L817" t="s">
        <v>35</v>
      </c>
      <c r="M817" t="s">
        <v>35</v>
      </c>
      <c r="N817" t="s">
        <v>35</v>
      </c>
      <c r="O817" t="str">
        <f t="shared" si="26"/>
        <v>False</v>
      </c>
      <c r="P817" s="3">
        <v>78050.264460705075</v>
      </c>
      <c r="Q817" s="3">
        <v>7338.9771792938036</v>
      </c>
      <c r="R817" s="3">
        <v>3747.2361125697989</v>
      </c>
      <c r="S817" s="3">
        <v>1409.809651764798</v>
      </c>
      <c r="T817" s="3">
        <v>424.63998679945149</v>
      </c>
      <c r="U817">
        <v>0.57693177531288842</v>
      </c>
      <c r="V817" s="3">
        <v>5387.2575266799249</v>
      </c>
      <c r="W817">
        <v>18.708672693444939</v>
      </c>
      <c r="X817">
        <v>19.692267706086341</v>
      </c>
      <c r="Y817">
        <v>9.9562247072438037</v>
      </c>
      <c r="Z817" s="5">
        <v>0.33580880162282462</v>
      </c>
      <c r="AA817">
        <v>32.82044617681057</v>
      </c>
      <c r="AB817">
        <v>90.633352400421884</v>
      </c>
      <c r="AC817">
        <v>45.029677638955022</v>
      </c>
      <c r="AD817" s="5">
        <v>0.33192298318771829</v>
      </c>
      <c r="AE817">
        <v>151.05558733403649</v>
      </c>
      <c r="AF817">
        <v>75.049462731591703</v>
      </c>
      <c r="AG817">
        <v>16.593707845406339</v>
      </c>
      <c r="AH817" t="str">
        <f t="shared" si="25"/>
        <v>True</v>
      </c>
      <c r="AI817">
        <v>4</v>
      </c>
    </row>
    <row r="818" spans="1:35" x14ac:dyDescent="0.35">
      <c r="A818" t="s">
        <v>934</v>
      </c>
      <c r="B818" t="s">
        <v>931</v>
      </c>
      <c r="C818" t="s">
        <v>33</v>
      </c>
      <c r="D818" t="s">
        <v>39</v>
      </c>
      <c r="E818" t="s">
        <v>34</v>
      </c>
      <c r="F818" t="s">
        <v>34</v>
      </c>
      <c r="G818" t="s">
        <v>37</v>
      </c>
      <c r="H818" t="s">
        <v>35</v>
      </c>
      <c r="I818" t="s">
        <v>35</v>
      </c>
      <c r="J818" t="s">
        <v>35</v>
      </c>
      <c r="K818" t="s">
        <v>35</v>
      </c>
      <c r="L818" t="s">
        <v>35</v>
      </c>
      <c r="M818" t="s">
        <v>35</v>
      </c>
      <c r="N818" t="s">
        <v>37</v>
      </c>
      <c r="O818" t="str">
        <f t="shared" si="26"/>
        <v>True</v>
      </c>
      <c r="P818" s="3">
        <v>89038.25</v>
      </c>
      <c r="Q818" s="3">
        <v>6548.2255957564839</v>
      </c>
      <c r="R818" s="3">
        <v>4537.9876961071186</v>
      </c>
      <c r="S818" s="3">
        <v>1409.506885611381</v>
      </c>
      <c r="T818" s="3">
        <v>424.94275295286889</v>
      </c>
      <c r="U818">
        <v>0.60821795771777576</v>
      </c>
      <c r="V818" s="3">
        <v>10220.35898119977</v>
      </c>
      <c r="W818">
        <v>17.940660445254569</v>
      </c>
      <c r="X818">
        <v>17.62108543467502</v>
      </c>
      <c r="Y818">
        <v>12.027406978655129</v>
      </c>
      <c r="Z818" s="5">
        <v>0.40566673040169599</v>
      </c>
      <c r="AA818">
        <v>29.36847572445836</v>
      </c>
      <c r="AB818">
        <v>81.508367465612153</v>
      </c>
      <c r="AC818">
        <v>54.154662573764753</v>
      </c>
      <c r="AD818" s="5">
        <v>0.39918511740483809</v>
      </c>
      <c r="AE818">
        <v>135.84727910935359</v>
      </c>
      <c r="AF818">
        <v>90.257770956274598</v>
      </c>
      <c r="AG818">
        <v>20.045678297758549</v>
      </c>
      <c r="AH818" t="str">
        <f t="shared" si="25"/>
        <v>True</v>
      </c>
      <c r="AI818">
        <v>4</v>
      </c>
    </row>
    <row r="819" spans="1:35" x14ac:dyDescent="0.35">
      <c r="A819" t="s">
        <v>935</v>
      </c>
      <c r="B819" t="s">
        <v>931</v>
      </c>
      <c r="C819" t="s">
        <v>33</v>
      </c>
      <c r="D819" t="s">
        <v>39</v>
      </c>
      <c r="E819" t="s">
        <v>34</v>
      </c>
      <c r="F819" t="s">
        <v>34</v>
      </c>
      <c r="G819" t="s">
        <v>37</v>
      </c>
      <c r="H819" t="s">
        <v>35</v>
      </c>
      <c r="I819" t="s">
        <v>35</v>
      </c>
      <c r="J819" t="s">
        <v>35</v>
      </c>
      <c r="K819" t="s">
        <v>37</v>
      </c>
      <c r="L819" t="s">
        <v>35</v>
      </c>
      <c r="M819" t="s">
        <v>35</v>
      </c>
      <c r="N819" t="s">
        <v>37</v>
      </c>
      <c r="O819" t="str">
        <f t="shared" si="26"/>
        <v>True</v>
      </c>
      <c r="P819" s="3">
        <v>156087</v>
      </c>
      <c r="Q819" s="3">
        <v>6193.8428633091971</v>
      </c>
      <c r="R819" s="3">
        <v>4892.3704285544054</v>
      </c>
      <c r="S819" s="3">
        <v>1366.857425776534</v>
      </c>
      <c r="T819" s="3">
        <v>467.59221278771508</v>
      </c>
      <c r="U819">
        <v>0.37430228298867119</v>
      </c>
      <c r="V819" s="3">
        <v>-48887.747173157593</v>
      </c>
      <c r="W819">
        <v>29.120911925034651</v>
      </c>
      <c r="X819">
        <v>16.678676471810281</v>
      </c>
      <c r="Y819">
        <v>12.969815941519871</v>
      </c>
      <c r="Z819" s="5">
        <v>0.43745279728586001</v>
      </c>
      <c r="AA819">
        <v>27.7977941196838</v>
      </c>
      <c r="AB819">
        <v>77.239309594524187</v>
      </c>
      <c r="AC819">
        <v>58.423720444852719</v>
      </c>
      <c r="AD819" s="5">
        <v>0.43065321796140721</v>
      </c>
      <c r="AE819">
        <v>128.73218265754031</v>
      </c>
      <c r="AF819">
        <v>97.372867408087885</v>
      </c>
      <c r="AG819">
        <v>21.616359902533119</v>
      </c>
      <c r="AH819" t="str">
        <f t="shared" si="25"/>
        <v>True</v>
      </c>
      <c r="AI819">
        <v>4</v>
      </c>
    </row>
    <row r="820" spans="1:35" x14ac:dyDescent="0.35">
      <c r="A820" t="s">
        <v>936</v>
      </c>
      <c r="B820" t="s">
        <v>931</v>
      </c>
      <c r="C820" t="s">
        <v>33</v>
      </c>
      <c r="D820" t="s">
        <v>39</v>
      </c>
      <c r="E820" t="s">
        <v>34</v>
      </c>
      <c r="F820" t="s">
        <v>34</v>
      </c>
      <c r="G820" t="s">
        <v>37</v>
      </c>
      <c r="H820" t="s">
        <v>35</v>
      </c>
      <c r="I820" t="s">
        <v>35</v>
      </c>
      <c r="J820" t="s">
        <v>35</v>
      </c>
      <c r="K820" t="s">
        <v>37</v>
      </c>
      <c r="L820" t="s">
        <v>35</v>
      </c>
      <c r="M820" t="s">
        <v>35</v>
      </c>
      <c r="N820" t="s">
        <v>35</v>
      </c>
      <c r="O820" t="str">
        <f t="shared" si="26"/>
        <v>True</v>
      </c>
      <c r="P820" s="3">
        <v>145278.84917956949</v>
      </c>
      <c r="Q820" s="3">
        <v>6936.7024294789571</v>
      </c>
      <c r="R820" s="3">
        <v>4149.5108623846463</v>
      </c>
      <c r="S820" s="3">
        <v>1366.940370723464</v>
      </c>
      <c r="T820" s="3">
        <v>467.50926784078513</v>
      </c>
      <c r="U820">
        <v>0.34314866499926722</v>
      </c>
      <c r="V820" s="3">
        <v>-52938.446575060851</v>
      </c>
      <c r="W820">
        <v>31.465933671914929</v>
      </c>
      <c r="X820">
        <v>18.624349955566618</v>
      </c>
      <c r="Y820">
        <v>11.02414245776353</v>
      </c>
      <c r="Z820" s="5">
        <v>0.37182809513805187</v>
      </c>
      <c r="AA820">
        <v>31.0405832592777</v>
      </c>
      <c r="AB820">
        <v>85.810786890777763</v>
      </c>
      <c r="AC820">
        <v>49.852243148599143</v>
      </c>
      <c r="AD820" s="5">
        <v>0.36747110199535771</v>
      </c>
      <c r="AE820">
        <v>143.01797815129629</v>
      </c>
      <c r="AF820">
        <v>83.087071914331901</v>
      </c>
      <c r="AG820">
        <v>18.37357076293922</v>
      </c>
      <c r="AH820" t="str">
        <f t="shared" si="25"/>
        <v>True</v>
      </c>
      <c r="AI820">
        <v>4</v>
      </c>
    </row>
    <row r="821" spans="1:35" x14ac:dyDescent="0.35">
      <c r="A821" t="s">
        <v>937</v>
      </c>
      <c r="B821" t="s">
        <v>931</v>
      </c>
      <c r="C821" t="s">
        <v>33</v>
      </c>
      <c r="D821" t="s">
        <v>39</v>
      </c>
      <c r="E821" t="s">
        <v>39</v>
      </c>
      <c r="F821" t="s">
        <v>39</v>
      </c>
      <c r="G821" t="s">
        <v>37</v>
      </c>
      <c r="H821" t="s">
        <v>35</v>
      </c>
      <c r="I821" t="s">
        <v>35</v>
      </c>
      <c r="J821" t="s">
        <v>35</v>
      </c>
      <c r="K821" t="s">
        <v>35</v>
      </c>
      <c r="L821" t="s">
        <v>37</v>
      </c>
      <c r="M821" t="s">
        <v>35</v>
      </c>
      <c r="N821" t="s">
        <v>37</v>
      </c>
      <c r="O821" t="str">
        <f t="shared" si="26"/>
        <v>True</v>
      </c>
      <c r="P821" s="3">
        <v>266606.86307631992</v>
      </c>
      <c r="Q821" s="3">
        <v>4576.9810438478062</v>
      </c>
      <c r="R821" s="3">
        <v>6509.2322480157964</v>
      </c>
      <c r="S821" s="3">
        <v>1157.512446532116</v>
      </c>
      <c r="T821" s="3">
        <v>676.93719203213311</v>
      </c>
      <c r="U821">
        <v>0.29242882808778953</v>
      </c>
      <c r="V821" s="3">
        <v>-122883.4742753613</v>
      </c>
      <c r="W821">
        <v>37.099996778609459</v>
      </c>
      <c r="X821">
        <v>12.374035017587371</v>
      </c>
      <c r="Y821">
        <v>17.274457395742779</v>
      </c>
      <c r="Z821" s="5">
        <v>0.58264201615782907</v>
      </c>
      <c r="AA821">
        <v>20.623391695978949</v>
      </c>
      <c r="AB821">
        <v>57.699497509806918</v>
      </c>
      <c r="AC821">
        <v>77.963532529569989</v>
      </c>
      <c r="AD821" s="5">
        <v>0.57468517773000249</v>
      </c>
      <c r="AE821">
        <v>96.165829183011525</v>
      </c>
      <c r="AF821">
        <v>129.93922088261661</v>
      </c>
      <c r="AG821">
        <v>28.79076232623796</v>
      </c>
      <c r="AH821" t="str">
        <f t="shared" si="25"/>
        <v>True</v>
      </c>
      <c r="AI821">
        <v>4</v>
      </c>
    </row>
    <row r="822" spans="1:35" x14ac:dyDescent="0.35">
      <c r="A822" t="s">
        <v>938</v>
      </c>
      <c r="B822" t="s">
        <v>931</v>
      </c>
      <c r="C822" t="s">
        <v>33</v>
      </c>
      <c r="D822" t="s">
        <v>39</v>
      </c>
      <c r="E822" t="s">
        <v>39</v>
      </c>
      <c r="F822" t="s">
        <v>39</v>
      </c>
      <c r="G822" t="s">
        <v>37</v>
      </c>
      <c r="H822" t="s">
        <v>35</v>
      </c>
      <c r="I822" t="s">
        <v>35</v>
      </c>
      <c r="J822" t="s">
        <v>35</v>
      </c>
      <c r="K822" t="s">
        <v>35</v>
      </c>
      <c r="L822" t="s">
        <v>37</v>
      </c>
      <c r="M822" t="s">
        <v>35</v>
      </c>
      <c r="N822" t="s">
        <v>35</v>
      </c>
      <c r="O822" t="str">
        <f t="shared" si="26"/>
        <v>True</v>
      </c>
      <c r="P822" s="3">
        <v>256626.1926201887</v>
      </c>
      <c r="Q822" s="3">
        <v>5129.2162177196778</v>
      </c>
      <c r="R822" s="3">
        <v>5956.9970741439247</v>
      </c>
      <c r="S822" s="3">
        <v>1157.58292369223</v>
      </c>
      <c r="T822" s="3">
        <v>676.86671487201977</v>
      </c>
      <c r="U822">
        <v>0.27897205192182117</v>
      </c>
      <c r="V822" s="3">
        <v>-123948.91683986979</v>
      </c>
      <c r="W822">
        <v>38.684272210276447</v>
      </c>
      <c r="X822">
        <v>13.82043426916993</v>
      </c>
      <c r="Y822">
        <v>15.82805814416022</v>
      </c>
      <c r="Z822" s="5">
        <v>0.53385709881976406</v>
      </c>
      <c r="AA822">
        <v>23.034057115283211</v>
      </c>
      <c r="AB822">
        <v>64.071494507238327</v>
      </c>
      <c r="AC822">
        <v>71.591535532138579</v>
      </c>
      <c r="AD822" s="5">
        <v>0.52771588185343321</v>
      </c>
      <c r="AE822">
        <v>106.78582417873061</v>
      </c>
      <c r="AF822">
        <v>119.3192258868976</v>
      </c>
      <c r="AG822">
        <v>26.380096906933701</v>
      </c>
      <c r="AH822" t="str">
        <f t="shared" si="25"/>
        <v>True</v>
      </c>
      <c r="AI822">
        <v>4</v>
      </c>
    </row>
    <row r="823" spans="1:35" x14ac:dyDescent="0.35">
      <c r="A823" t="s">
        <v>939</v>
      </c>
      <c r="B823" t="s">
        <v>931</v>
      </c>
      <c r="C823" t="s">
        <v>33</v>
      </c>
      <c r="D823" t="s">
        <v>39</v>
      </c>
      <c r="E823" t="s">
        <v>34</v>
      </c>
      <c r="F823" t="s">
        <v>34</v>
      </c>
      <c r="G823" t="s">
        <v>37</v>
      </c>
      <c r="H823" t="s">
        <v>35</v>
      </c>
      <c r="I823" t="s">
        <v>37</v>
      </c>
      <c r="J823" t="s">
        <v>35</v>
      </c>
      <c r="K823" t="s">
        <v>35</v>
      </c>
      <c r="L823" t="s">
        <v>35</v>
      </c>
      <c r="M823" t="s">
        <v>35</v>
      </c>
      <c r="N823" t="s">
        <v>37</v>
      </c>
      <c r="O823" t="str">
        <f t="shared" si="26"/>
        <v>True</v>
      </c>
      <c r="P823" s="3">
        <v>216162</v>
      </c>
      <c r="Q823" s="3">
        <v>6477.119799574024</v>
      </c>
      <c r="R823" s="3">
        <v>4609.0934922895794</v>
      </c>
      <c r="S823" s="3">
        <v>1400.543900835554</v>
      </c>
      <c r="T823" s="3">
        <v>433.90573772869601</v>
      </c>
      <c r="U823">
        <v>0.25449870442965289</v>
      </c>
      <c r="V823" s="3">
        <v>-115302.0153996345</v>
      </c>
      <c r="W823">
        <v>42.86377810912667</v>
      </c>
      <c r="X823">
        <v>17.431858660105149</v>
      </c>
      <c r="Y823">
        <v>12.216633753225</v>
      </c>
      <c r="Z823" s="5">
        <v>0.41204907092450749</v>
      </c>
      <c r="AA823">
        <v>29.053097766841919</v>
      </c>
      <c r="AB823">
        <v>80.650081092454272</v>
      </c>
      <c r="AC823">
        <v>55.012948946922627</v>
      </c>
      <c r="AD823" s="5">
        <v>0.40551172217629838</v>
      </c>
      <c r="AE823">
        <v>134.41680182075709</v>
      </c>
      <c r="AF823">
        <v>91.688248244871033</v>
      </c>
      <c r="AG823">
        <v>20.36105625537499</v>
      </c>
      <c r="AH823" t="str">
        <f t="shared" si="25"/>
        <v>True</v>
      </c>
      <c r="AI823">
        <v>4</v>
      </c>
    </row>
    <row r="824" spans="1:35" x14ac:dyDescent="0.35">
      <c r="A824" t="s">
        <v>940</v>
      </c>
      <c r="B824" t="s">
        <v>931</v>
      </c>
      <c r="C824" t="s">
        <v>33</v>
      </c>
      <c r="D824" t="s">
        <v>39</v>
      </c>
      <c r="E824" t="s">
        <v>39</v>
      </c>
      <c r="F824" t="s">
        <v>39</v>
      </c>
      <c r="G824" t="s">
        <v>37</v>
      </c>
      <c r="H824" t="s">
        <v>35</v>
      </c>
      <c r="I824" t="s">
        <v>35</v>
      </c>
      <c r="J824" t="s">
        <v>35</v>
      </c>
      <c r="K824" t="s">
        <v>37</v>
      </c>
      <c r="L824" t="s">
        <v>37</v>
      </c>
      <c r="M824" t="s">
        <v>35</v>
      </c>
      <c r="N824" t="s">
        <v>37</v>
      </c>
      <c r="O824" t="str">
        <f t="shared" si="26"/>
        <v>True</v>
      </c>
      <c r="P824" s="3">
        <v>333898.73340506502</v>
      </c>
      <c r="Q824" s="3">
        <v>4109.2065657747298</v>
      </c>
      <c r="R824" s="3">
        <v>6977.0067260888718</v>
      </c>
      <c r="S824" s="3">
        <v>1099.726118485763</v>
      </c>
      <c r="T824" s="3">
        <v>734.7235200784869</v>
      </c>
      <c r="U824">
        <v>0.25038985657415741</v>
      </c>
      <c r="V824" s="3">
        <v>-179664.12848171781</v>
      </c>
      <c r="W824">
        <v>43.297512068839403</v>
      </c>
      <c r="X824">
        <v>11.129586310511369</v>
      </c>
      <c r="Y824">
        <v>18.518906102818779</v>
      </c>
      <c r="Z824" s="5">
        <v>0.62461543894530591</v>
      </c>
      <c r="AA824">
        <v>18.549310517518951</v>
      </c>
      <c r="AB824">
        <v>52.05817407178985</v>
      </c>
      <c r="AC824">
        <v>83.604855967587056</v>
      </c>
      <c r="AD824" s="5">
        <v>0.61626852904081764</v>
      </c>
      <c r="AE824">
        <v>86.763623452983083</v>
      </c>
      <c r="AF824">
        <v>139.34142661264511</v>
      </c>
      <c r="AG824">
        <v>30.864843504697969</v>
      </c>
      <c r="AH824" t="str">
        <f t="shared" si="25"/>
        <v>True</v>
      </c>
      <c r="AI824">
        <v>4</v>
      </c>
    </row>
    <row r="825" spans="1:35" x14ac:dyDescent="0.35">
      <c r="A825" t="s">
        <v>941</v>
      </c>
      <c r="B825" t="s">
        <v>931</v>
      </c>
      <c r="C825" t="s">
        <v>33</v>
      </c>
      <c r="D825" t="s">
        <v>39</v>
      </c>
      <c r="E825" t="s">
        <v>39</v>
      </c>
      <c r="F825" t="s">
        <v>39</v>
      </c>
      <c r="G825" t="s">
        <v>37</v>
      </c>
      <c r="H825" t="s">
        <v>35</v>
      </c>
      <c r="I825" t="s">
        <v>35</v>
      </c>
      <c r="J825" t="s">
        <v>35</v>
      </c>
      <c r="K825" t="s">
        <v>37</v>
      </c>
      <c r="L825" t="s">
        <v>37</v>
      </c>
      <c r="M825" t="s">
        <v>35</v>
      </c>
      <c r="N825" t="s">
        <v>35</v>
      </c>
      <c r="O825" t="str">
        <f t="shared" si="26"/>
        <v>True</v>
      </c>
      <c r="P825" s="3">
        <v>324156.56764649611</v>
      </c>
      <c r="Q825" s="3">
        <v>4602.4467067166024</v>
      </c>
      <c r="R825" s="3">
        <v>6483.766585147001</v>
      </c>
      <c r="S825" s="3">
        <v>1099.745452710594</v>
      </c>
      <c r="T825" s="3">
        <v>734.70418585365587</v>
      </c>
      <c r="U825">
        <v>0.24035842105720781</v>
      </c>
      <c r="V825" s="3">
        <v>-179787.15222648301</v>
      </c>
      <c r="W825">
        <v>44.906542941027951</v>
      </c>
      <c r="X825">
        <v>12.42145283027024</v>
      </c>
      <c r="Y825">
        <v>17.227039583059909</v>
      </c>
      <c r="Z825" s="5">
        <v>0.58104268314548524</v>
      </c>
      <c r="AA825">
        <v>20.702421383783729</v>
      </c>
      <c r="AB825">
        <v>57.749269264541141</v>
      </c>
      <c r="AC825">
        <v>77.913760774835765</v>
      </c>
      <c r="AD825" s="5">
        <v>0.57431829992460648</v>
      </c>
      <c r="AE825">
        <v>96.248782107568559</v>
      </c>
      <c r="AF825">
        <v>129.85626795805959</v>
      </c>
      <c r="AG825">
        <v>28.71173263843318</v>
      </c>
      <c r="AH825" t="str">
        <f t="shared" si="25"/>
        <v>True</v>
      </c>
      <c r="AI825">
        <v>4</v>
      </c>
    </row>
    <row r="826" spans="1:35" x14ac:dyDescent="0.35">
      <c r="A826" t="s">
        <v>942</v>
      </c>
      <c r="B826" t="s">
        <v>931</v>
      </c>
      <c r="C826" t="s">
        <v>33</v>
      </c>
      <c r="D826" t="s">
        <v>39</v>
      </c>
      <c r="E826" t="s">
        <v>34</v>
      </c>
      <c r="F826" t="s">
        <v>34</v>
      </c>
      <c r="G826" t="s">
        <v>37</v>
      </c>
      <c r="H826" t="s">
        <v>35</v>
      </c>
      <c r="I826" t="s">
        <v>37</v>
      </c>
      <c r="J826" t="s">
        <v>35</v>
      </c>
      <c r="K826" t="s">
        <v>35</v>
      </c>
      <c r="L826" t="s">
        <v>35</v>
      </c>
      <c r="M826" t="s">
        <v>35</v>
      </c>
      <c r="N826" t="s">
        <v>35</v>
      </c>
      <c r="O826" t="str">
        <f t="shared" si="26"/>
        <v>True</v>
      </c>
      <c r="P826" s="3">
        <v>205212.5</v>
      </c>
      <c r="Q826" s="3">
        <v>7259.1709811987294</v>
      </c>
      <c r="R826" s="3">
        <v>3827.0423106648741</v>
      </c>
      <c r="S826" s="3">
        <v>1400.84049757047</v>
      </c>
      <c r="T826" s="3">
        <v>433.60914099377999</v>
      </c>
      <c r="U826">
        <v>0.22410123880498811</v>
      </c>
      <c r="V826" s="3">
        <v>-119999.47096682691</v>
      </c>
      <c r="W826">
        <v>48.164582887931758</v>
      </c>
      <c r="X826">
        <v>19.480251388484721</v>
      </c>
      <c r="Y826">
        <v>10.168241024845431</v>
      </c>
      <c r="Z826" s="5">
        <v>0.34295979988087782</v>
      </c>
      <c r="AA826">
        <v>32.467085647474534</v>
      </c>
      <c r="AB826">
        <v>89.674654571108277</v>
      </c>
      <c r="AC826">
        <v>45.988375468268629</v>
      </c>
      <c r="AD826" s="5">
        <v>0.33898974138289739</v>
      </c>
      <c r="AE826">
        <v>149.4577576185138</v>
      </c>
      <c r="AF826">
        <v>76.647292447114381</v>
      </c>
      <c r="AG826">
        <v>16.94706837474239</v>
      </c>
      <c r="AH826" t="str">
        <f t="shared" si="25"/>
        <v>True</v>
      </c>
      <c r="AI826">
        <v>4</v>
      </c>
    </row>
    <row r="827" spans="1:35" x14ac:dyDescent="0.35">
      <c r="A827" t="s">
        <v>943</v>
      </c>
      <c r="B827" t="s">
        <v>931</v>
      </c>
      <c r="C827" t="s">
        <v>33</v>
      </c>
      <c r="D827" t="s">
        <v>39</v>
      </c>
      <c r="E827" t="s">
        <v>34</v>
      </c>
      <c r="F827" t="s">
        <v>34</v>
      </c>
      <c r="G827" t="s">
        <v>37</v>
      </c>
      <c r="H827" t="s">
        <v>35</v>
      </c>
      <c r="I827" t="s">
        <v>35</v>
      </c>
      <c r="J827" t="s">
        <v>37</v>
      </c>
      <c r="K827" t="s">
        <v>35</v>
      </c>
      <c r="L827" t="s">
        <v>35</v>
      </c>
      <c r="M827" t="s">
        <v>35</v>
      </c>
      <c r="N827" t="s">
        <v>37</v>
      </c>
      <c r="O827" t="str">
        <f t="shared" si="26"/>
        <v>True</v>
      </c>
      <c r="P827" s="3">
        <v>244959.07079629379</v>
      </c>
      <c r="Q827" s="3">
        <v>6623.5344652080348</v>
      </c>
      <c r="R827" s="3">
        <v>4462.6788266555677</v>
      </c>
      <c r="S827" s="3">
        <v>1419.643907812339</v>
      </c>
      <c r="T827" s="3">
        <v>414.8057307519104</v>
      </c>
      <c r="U827">
        <v>0.21735435585442009</v>
      </c>
      <c r="V827" s="3">
        <v>-147409.37964814421</v>
      </c>
      <c r="W827">
        <v>50.222418526015083</v>
      </c>
      <c r="X827">
        <v>17.82171244648746</v>
      </c>
      <c r="Y827">
        <v>11.82677996684269</v>
      </c>
      <c r="Z827" s="5">
        <v>0.3988998766603491</v>
      </c>
      <c r="AA827">
        <v>29.702854077479099</v>
      </c>
      <c r="AB827">
        <v>82.420108995751178</v>
      </c>
      <c r="AC827">
        <v>53.242921043625728</v>
      </c>
      <c r="AD827" s="5">
        <v>0.39246448371506731</v>
      </c>
      <c r="AE827">
        <v>137.36684832625201</v>
      </c>
      <c r="AF827">
        <v>88.738201739376208</v>
      </c>
      <c r="AG827">
        <v>19.711299944737821</v>
      </c>
      <c r="AH827" t="str">
        <f t="shared" si="25"/>
        <v>True</v>
      </c>
      <c r="AI827">
        <v>4</v>
      </c>
    </row>
    <row r="828" spans="1:35" x14ac:dyDescent="0.35">
      <c r="A828" t="s">
        <v>944</v>
      </c>
      <c r="B828" t="s">
        <v>931</v>
      </c>
      <c r="C828" t="s">
        <v>33</v>
      </c>
      <c r="D828" t="s">
        <v>39</v>
      </c>
      <c r="E828" t="s">
        <v>34</v>
      </c>
      <c r="F828" t="s">
        <v>34</v>
      </c>
      <c r="G828" t="s">
        <v>35</v>
      </c>
      <c r="H828" t="s">
        <v>37</v>
      </c>
      <c r="I828" t="s">
        <v>35</v>
      </c>
      <c r="J828" t="s">
        <v>35</v>
      </c>
      <c r="K828" t="s">
        <v>35</v>
      </c>
      <c r="L828" t="s">
        <v>35</v>
      </c>
      <c r="M828" t="s">
        <v>35</v>
      </c>
      <c r="N828" t="s">
        <v>37</v>
      </c>
      <c r="O828" t="str">
        <f t="shared" si="26"/>
        <v>True</v>
      </c>
      <c r="P828" s="3">
        <v>198758</v>
      </c>
      <c r="Q828" s="3">
        <v>7423.4112227665537</v>
      </c>
      <c r="R828" s="3">
        <v>3662.8020690970488</v>
      </c>
      <c r="S828" s="3">
        <v>1523.7267325149189</v>
      </c>
      <c r="T828" s="3">
        <v>310.72290604933039</v>
      </c>
      <c r="U828">
        <v>0.21923245430154489</v>
      </c>
      <c r="V828" s="3">
        <v>-119287.5004970724</v>
      </c>
      <c r="W828">
        <v>50.020573984860377</v>
      </c>
      <c r="X828">
        <v>19.951431932641661</v>
      </c>
      <c r="Y828">
        <v>9.6970604806884921</v>
      </c>
      <c r="Z828" s="5">
        <v>0.32706757380785523</v>
      </c>
      <c r="AA828">
        <v>33.252386554402761</v>
      </c>
      <c r="AB828">
        <v>92.088825887310435</v>
      </c>
      <c r="AC828">
        <v>43.574204152066471</v>
      </c>
      <c r="AD828" s="5">
        <v>0.32119438980110371</v>
      </c>
      <c r="AE828">
        <v>153.48137647885071</v>
      </c>
      <c r="AF828">
        <v>72.623673586777457</v>
      </c>
      <c r="AG828">
        <v>16.161767467814151</v>
      </c>
      <c r="AH828" t="str">
        <f t="shared" si="25"/>
        <v>False</v>
      </c>
      <c r="AI828">
        <v>4</v>
      </c>
    </row>
    <row r="829" spans="1:35" x14ac:dyDescent="0.35">
      <c r="A829" t="s">
        <v>945</v>
      </c>
      <c r="B829" t="s">
        <v>931</v>
      </c>
      <c r="C829" t="s">
        <v>33</v>
      </c>
      <c r="D829" t="s">
        <v>39</v>
      </c>
      <c r="E829" t="s">
        <v>34</v>
      </c>
      <c r="F829" t="s">
        <v>34</v>
      </c>
      <c r="G829" t="s">
        <v>37</v>
      </c>
      <c r="H829" t="s">
        <v>35</v>
      </c>
      <c r="I829" t="s">
        <v>37</v>
      </c>
      <c r="J829" t="s">
        <v>35</v>
      </c>
      <c r="K829" t="s">
        <v>37</v>
      </c>
      <c r="L829" t="s">
        <v>35</v>
      </c>
      <c r="M829" t="s">
        <v>35</v>
      </c>
      <c r="N829" t="s">
        <v>37</v>
      </c>
      <c r="O829" t="str">
        <f t="shared" si="26"/>
        <v>True</v>
      </c>
      <c r="P829" s="3">
        <v>283236.55610691308</v>
      </c>
      <c r="Q829" s="3">
        <v>6114.6498255397046</v>
      </c>
      <c r="R829" s="3">
        <v>4971.563466323898</v>
      </c>
      <c r="S829" s="3">
        <v>1356.8431428538661</v>
      </c>
      <c r="T829" s="3">
        <v>477.60649571038329</v>
      </c>
      <c r="U829">
        <v>0.2096472286296675</v>
      </c>
      <c r="V829" s="3">
        <v>-174253.15686622751</v>
      </c>
      <c r="W829">
        <v>51.977926561346479</v>
      </c>
      <c r="X829">
        <v>16.467917283048429</v>
      </c>
      <c r="Y829">
        <v>13.180575130281721</v>
      </c>
      <c r="Z829" s="5">
        <v>0.44456139443891762</v>
      </c>
      <c r="AA829">
        <v>27.44652880508071</v>
      </c>
      <c r="AB829">
        <v>76.283271004951246</v>
      </c>
      <c r="AC829">
        <v>59.379759034425661</v>
      </c>
      <c r="AD829" s="5">
        <v>0.43770037435541848</v>
      </c>
      <c r="AE829">
        <v>127.1387850082521</v>
      </c>
      <c r="AF829">
        <v>98.966265057376106</v>
      </c>
      <c r="AG829">
        <v>21.967625217136199</v>
      </c>
      <c r="AH829" t="str">
        <f t="shared" si="25"/>
        <v>True</v>
      </c>
      <c r="AI829">
        <v>4</v>
      </c>
    </row>
    <row r="830" spans="1:35" x14ac:dyDescent="0.35">
      <c r="A830" t="s">
        <v>946</v>
      </c>
      <c r="B830" t="s">
        <v>931</v>
      </c>
      <c r="C830" t="s">
        <v>33</v>
      </c>
      <c r="D830" t="s">
        <v>34</v>
      </c>
      <c r="E830" t="s">
        <v>34</v>
      </c>
      <c r="F830" t="s">
        <v>34</v>
      </c>
      <c r="G830" t="s">
        <v>35</v>
      </c>
      <c r="H830" t="s">
        <v>35</v>
      </c>
      <c r="I830" t="s">
        <v>35</v>
      </c>
      <c r="J830" t="s">
        <v>35</v>
      </c>
      <c r="K830" t="s">
        <v>37</v>
      </c>
      <c r="L830" t="s">
        <v>35</v>
      </c>
      <c r="M830" t="s">
        <v>35</v>
      </c>
      <c r="N830" t="s">
        <v>37</v>
      </c>
      <c r="O830" t="str">
        <f t="shared" si="26"/>
        <v>True</v>
      </c>
      <c r="P830" s="3">
        <v>79777</v>
      </c>
      <c r="Q830" s="3">
        <v>9611.3705916862891</v>
      </c>
      <c r="R830" s="3">
        <v>1474.842700177313</v>
      </c>
      <c r="S830" s="3">
        <v>1801.114506247997</v>
      </c>
      <c r="T830" s="3">
        <v>33.33513231625205</v>
      </c>
      <c r="U830">
        <v>0.21506943250067481</v>
      </c>
      <c r="V830" s="3">
        <v>-49613.443350128691</v>
      </c>
      <c r="W830">
        <v>52.896282043941497</v>
      </c>
      <c r="X830">
        <v>25.774561808610439</v>
      </c>
      <c r="Y830">
        <v>3.873930604719714</v>
      </c>
      <c r="Z830" s="5">
        <v>0.130661976019326</v>
      </c>
      <c r="AA830">
        <v>42.957603014350731</v>
      </c>
      <c r="AB830">
        <v>118.5054359227706</v>
      </c>
      <c r="AC830">
        <v>17.157594116606329</v>
      </c>
      <c r="AD830" s="5">
        <v>0.12647214286476019</v>
      </c>
      <c r="AE830">
        <v>197.50905987128431</v>
      </c>
      <c r="AF830">
        <v>28.595990194343891</v>
      </c>
      <c r="AG830">
        <v>6.4565510078661816</v>
      </c>
      <c r="AH830" t="str">
        <f t="shared" si="25"/>
        <v>False</v>
      </c>
      <c r="AI830">
        <v>2</v>
      </c>
    </row>
    <row r="831" spans="1:35" x14ac:dyDescent="0.35">
      <c r="A831" t="s">
        <v>947</v>
      </c>
      <c r="B831" t="s">
        <v>948</v>
      </c>
      <c r="C831" t="s">
        <v>33</v>
      </c>
      <c r="D831" t="s">
        <v>52</v>
      </c>
      <c r="E831" t="s">
        <v>77</v>
      </c>
      <c r="F831" t="s">
        <v>52</v>
      </c>
      <c r="G831" t="s">
        <v>35</v>
      </c>
      <c r="H831" t="s">
        <v>35</v>
      </c>
      <c r="I831" t="s">
        <v>35</v>
      </c>
      <c r="J831" t="s">
        <v>35</v>
      </c>
      <c r="K831" t="s">
        <v>35</v>
      </c>
      <c r="L831" t="s">
        <v>35</v>
      </c>
      <c r="M831" t="s">
        <v>35</v>
      </c>
      <c r="N831" t="s">
        <v>35</v>
      </c>
      <c r="O831" t="str">
        <f t="shared" si="26"/>
        <v>False</v>
      </c>
      <c r="P831" s="3">
        <v>0</v>
      </c>
      <c r="Q831" s="3">
        <v>0</v>
      </c>
      <c r="R831" s="3">
        <v>0</v>
      </c>
      <c r="S831" s="3">
        <v>1897.963882628241</v>
      </c>
      <c r="T831" s="3">
        <v>0</v>
      </c>
      <c r="U831">
        <v>0</v>
      </c>
      <c r="V831" s="3">
        <v>0</v>
      </c>
      <c r="W831">
        <v>0</v>
      </c>
      <c r="X831">
        <v>0.63345647117714854</v>
      </c>
      <c r="Y831">
        <v>0</v>
      </c>
      <c r="Z831" s="5">
        <v>0</v>
      </c>
      <c r="AA831">
        <v>1.222888940496426</v>
      </c>
      <c r="AB831">
        <v>8.018436344014539</v>
      </c>
      <c r="AC831">
        <v>0</v>
      </c>
      <c r="AD831" s="5">
        <v>0</v>
      </c>
      <c r="AE831">
        <v>15.479606841726911</v>
      </c>
      <c r="AF831">
        <v>0</v>
      </c>
      <c r="AG831">
        <v>4.4408920985006262E-16</v>
      </c>
      <c r="AH831" t="str">
        <f t="shared" si="25"/>
        <v>False</v>
      </c>
      <c r="AI831">
        <v>0</v>
      </c>
    </row>
    <row r="832" spans="1:35" x14ac:dyDescent="0.35">
      <c r="A832" t="s">
        <v>949</v>
      </c>
      <c r="B832" t="s">
        <v>948</v>
      </c>
      <c r="C832" t="s">
        <v>33</v>
      </c>
      <c r="D832" t="s">
        <v>52</v>
      </c>
      <c r="E832" t="s">
        <v>77</v>
      </c>
      <c r="F832" t="s">
        <v>52</v>
      </c>
      <c r="G832" t="s">
        <v>37</v>
      </c>
      <c r="H832" t="s">
        <v>35</v>
      </c>
      <c r="I832" t="s">
        <v>35</v>
      </c>
      <c r="J832" t="s">
        <v>35</v>
      </c>
      <c r="K832" t="s">
        <v>35</v>
      </c>
      <c r="L832" t="s">
        <v>35</v>
      </c>
      <c r="M832" t="s">
        <v>35</v>
      </c>
      <c r="N832" t="s">
        <v>35</v>
      </c>
      <c r="O832" t="str">
        <f t="shared" si="26"/>
        <v>False</v>
      </c>
      <c r="P832" s="3">
        <v>9341.4002812991912</v>
      </c>
      <c r="Q832" s="3">
        <v>0</v>
      </c>
      <c r="R832" s="3">
        <v>0</v>
      </c>
      <c r="S832" s="3">
        <v>1698.829976424867</v>
      </c>
      <c r="T832" s="3">
        <v>199.13390620337441</v>
      </c>
      <c r="U832">
        <v>9.00606283922602E-2</v>
      </c>
      <c r="V832" s="3">
        <v>-5358.7221572317048</v>
      </c>
      <c r="W832">
        <v>46.910144331517657</v>
      </c>
      <c r="X832">
        <v>0.56699437320475066</v>
      </c>
      <c r="Y832">
        <v>6.6462097972397799E-2</v>
      </c>
      <c r="Z832" s="5">
        <v>0.10491975533676649</v>
      </c>
      <c r="AA832">
        <v>1.094583732055503</v>
      </c>
      <c r="AB832">
        <v>7.1771439646170974</v>
      </c>
      <c r="AC832">
        <v>0.84129237939744161</v>
      </c>
      <c r="AD832" s="5">
        <v>0.10491975533676649</v>
      </c>
      <c r="AE832">
        <v>13.85549027918359</v>
      </c>
      <c r="AF832">
        <v>1.624116562543324</v>
      </c>
      <c r="AG832">
        <v>0.12830520844092291</v>
      </c>
      <c r="AH832" t="str">
        <f t="shared" si="25"/>
        <v>True</v>
      </c>
      <c r="AI832">
        <v>1</v>
      </c>
    </row>
    <row r="833" spans="1:35" x14ac:dyDescent="0.35">
      <c r="A833" t="s">
        <v>950</v>
      </c>
      <c r="B833" t="s">
        <v>948</v>
      </c>
      <c r="C833" t="s">
        <v>33</v>
      </c>
      <c r="D833" t="s">
        <v>52</v>
      </c>
      <c r="E833" t="s">
        <v>77</v>
      </c>
      <c r="F833" t="s">
        <v>52</v>
      </c>
      <c r="G833" t="s">
        <v>37</v>
      </c>
      <c r="H833" t="s">
        <v>35</v>
      </c>
      <c r="I833" t="s">
        <v>35</v>
      </c>
      <c r="J833" t="s">
        <v>35</v>
      </c>
      <c r="K833" t="s">
        <v>37</v>
      </c>
      <c r="L833" t="s">
        <v>35</v>
      </c>
      <c r="M833" t="s">
        <v>35</v>
      </c>
      <c r="N833" t="s">
        <v>35</v>
      </c>
      <c r="O833" t="str">
        <f t="shared" si="26"/>
        <v>True</v>
      </c>
      <c r="P833" s="3">
        <v>23087.763508757169</v>
      </c>
      <c r="Q833" s="3">
        <v>0</v>
      </c>
      <c r="R833" s="3">
        <v>0</v>
      </c>
      <c r="S833" s="3">
        <v>1672.93610810837</v>
      </c>
      <c r="T833" s="3">
        <v>225.02777451987129</v>
      </c>
      <c r="U833">
        <v>4.11771232169846E-2</v>
      </c>
      <c r="V833" s="3">
        <v>-18587.208018359739</v>
      </c>
      <c r="W833">
        <v>102.5996171273444</v>
      </c>
      <c r="X833">
        <v>0.55835214423557766</v>
      </c>
      <c r="Y833">
        <v>7.5104326941570806E-2</v>
      </c>
      <c r="Z833" s="5">
        <v>0.118562727446773</v>
      </c>
      <c r="AA833">
        <v>1.0778998923466749</v>
      </c>
      <c r="AB833">
        <v>7.0677486612098441</v>
      </c>
      <c r="AC833">
        <v>0.95068768280469484</v>
      </c>
      <c r="AD833" s="5">
        <v>0.118562727446773</v>
      </c>
      <c r="AE833">
        <v>13.64430243476804</v>
      </c>
      <c r="AF833">
        <v>1.83530440695887</v>
      </c>
      <c r="AG833">
        <v>0.14498904814975111</v>
      </c>
      <c r="AH833" t="str">
        <f t="shared" si="25"/>
        <v>True</v>
      </c>
      <c r="AI833">
        <v>1</v>
      </c>
    </row>
    <row r="834" spans="1:35" x14ac:dyDescent="0.35">
      <c r="A834" t="s">
        <v>951</v>
      </c>
      <c r="B834" t="s">
        <v>948</v>
      </c>
      <c r="C834" t="s">
        <v>33</v>
      </c>
      <c r="D834" t="s">
        <v>52</v>
      </c>
      <c r="E834" t="s">
        <v>77</v>
      </c>
      <c r="F834" t="s">
        <v>52</v>
      </c>
      <c r="G834" t="s">
        <v>35</v>
      </c>
      <c r="H834" t="s">
        <v>37</v>
      </c>
      <c r="I834" t="s">
        <v>35</v>
      </c>
      <c r="J834" t="s">
        <v>35</v>
      </c>
      <c r="K834" t="s">
        <v>35</v>
      </c>
      <c r="L834" t="s">
        <v>35</v>
      </c>
      <c r="M834" t="s">
        <v>35</v>
      </c>
      <c r="N834" t="s">
        <v>35</v>
      </c>
      <c r="O834" t="str">
        <f t="shared" si="26"/>
        <v>False</v>
      </c>
      <c r="P834" s="3">
        <v>22419.36067511806</v>
      </c>
      <c r="Q834" s="3">
        <v>0</v>
      </c>
      <c r="R834" s="3">
        <v>0</v>
      </c>
      <c r="S834" s="3">
        <v>1735.159843503588</v>
      </c>
      <c r="T834" s="3">
        <v>162.80403912465309</v>
      </c>
      <c r="U834">
        <v>3.0679176196706799E-2</v>
      </c>
      <c r="V834" s="3">
        <v>-19163.279892625</v>
      </c>
      <c r="W834">
        <v>137.70764408340241</v>
      </c>
      <c r="X834">
        <v>0.57911967738396053</v>
      </c>
      <c r="Y834">
        <v>5.4336793793188003E-2</v>
      </c>
      <c r="Z834" s="5">
        <v>8.5778259857720293E-2</v>
      </c>
      <c r="AA834">
        <v>1.1179916551813911</v>
      </c>
      <c r="AB834">
        <v>7.3306288276450706</v>
      </c>
      <c r="AC834">
        <v>0.68780751636946835</v>
      </c>
      <c r="AD834" s="5">
        <v>8.5778259857720293E-2</v>
      </c>
      <c r="AE834">
        <v>14.151793103561911</v>
      </c>
      <c r="AF834">
        <v>1.327813738164997</v>
      </c>
      <c r="AG834">
        <v>0.1048972853150352</v>
      </c>
      <c r="AH834" t="str">
        <f t="shared" si="25"/>
        <v>False</v>
      </c>
      <c r="AI834">
        <v>1</v>
      </c>
    </row>
    <row r="835" spans="1:35" x14ac:dyDescent="0.35">
      <c r="A835" t="s">
        <v>952</v>
      </c>
      <c r="B835" t="s">
        <v>948</v>
      </c>
      <c r="C835" t="s">
        <v>33</v>
      </c>
      <c r="D835" t="s">
        <v>52</v>
      </c>
      <c r="E835" t="s">
        <v>77</v>
      </c>
      <c r="F835" t="s">
        <v>52</v>
      </c>
      <c r="G835" t="s">
        <v>35</v>
      </c>
      <c r="H835" t="s">
        <v>37</v>
      </c>
      <c r="I835" t="s">
        <v>35</v>
      </c>
      <c r="J835" t="s">
        <v>35</v>
      </c>
      <c r="K835" t="s">
        <v>37</v>
      </c>
      <c r="L835" t="s">
        <v>35</v>
      </c>
      <c r="M835" t="s">
        <v>35</v>
      </c>
      <c r="N835" t="s">
        <v>35</v>
      </c>
      <c r="O835" t="str">
        <f t="shared" si="26"/>
        <v>True</v>
      </c>
      <c r="P835" s="3">
        <v>36165.723902576043</v>
      </c>
      <c r="Q835" s="3">
        <v>0</v>
      </c>
      <c r="R835" s="3">
        <v>0</v>
      </c>
      <c r="S835" s="3">
        <v>1703.561033252756</v>
      </c>
      <c r="T835" s="3">
        <v>194.40284937548469</v>
      </c>
      <c r="U835">
        <v>2.2709480827677798E-2</v>
      </c>
      <c r="V835" s="3">
        <v>-32277.666915066351</v>
      </c>
      <c r="W835">
        <v>186.03494762940829</v>
      </c>
      <c r="X835">
        <v>0.56857339090396186</v>
      </c>
      <c r="Y835">
        <v>6.4883080273186594E-2</v>
      </c>
      <c r="Z835" s="5">
        <v>0.1024270541472484</v>
      </c>
      <c r="AA835">
        <v>1.0976320287721271</v>
      </c>
      <c r="AB835">
        <v>7.1971315304298971</v>
      </c>
      <c r="AC835">
        <v>0.82130481358464191</v>
      </c>
      <c r="AD835" s="5">
        <v>0.1024270541472484</v>
      </c>
      <c r="AE835">
        <v>13.89407631357123</v>
      </c>
      <c r="AF835">
        <v>1.5855305281556791</v>
      </c>
      <c r="AG835">
        <v>0.12525691172429901</v>
      </c>
      <c r="AH835" t="str">
        <f t="shared" ref="AH835:AH862" si="27">IF(OR(G835="True",I835="True",J835="True"),"True","False")</f>
        <v>False</v>
      </c>
      <c r="AI835">
        <v>1</v>
      </c>
    </row>
    <row r="836" spans="1:35" x14ac:dyDescent="0.35">
      <c r="A836" t="s">
        <v>953</v>
      </c>
      <c r="B836" t="s">
        <v>948</v>
      </c>
      <c r="C836" t="s">
        <v>33</v>
      </c>
      <c r="D836" t="s">
        <v>52</v>
      </c>
      <c r="E836" t="s">
        <v>77</v>
      </c>
      <c r="F836" t="s">
        <v>52</v>
      </c>
      <c r="G836" t="s">
        <v>35</v>
      </c>
      <c r="H836" t="s">
        <v>35</v>
      </c>
      <c r="I836" t="s">
        <v>35</v>
      </c>
      <c r="J836" t="s">
        <v>35</v>
      </c>
      <c r="K836" t="s">
        <v>37</v>
      </c>
      <c r="L836" t="s">
        <v>35</v>
      </c>
      <c r="M836" t="s">
        <v>35</v>
      </c>
      <c r="N836" t="s">
        <v>35</v>
      </c>
      <c r="O836" t="str">
        <f t="shared" si="26"/>
        <v>False</v>
      </c>
      <c r="P836" s="3">
        <v>13746.36322745798</v>
      </c>
      <c r="Q836" s="3">
        <v>0</v>
      </c>
      <c r="R836" s="3">
        <v>0</v>
      </c>
      <c r="S836" s="3">
        <v>1834.7247236935509</v>
      </c>
      <c r="T836" s="3">
        <v>63.239158934690039</v>
      </c>
      <c r="U836">
        <v>1.9435692175335299E-2</v>
      </c>
      <c r="V836" s="3">
        <v>-12481.580048764181</v>
      </c>
      <c r="W836">
        <v>217.3710634206011</v>
      </c>
      <c r="X836">
        <v>0.61235003452382997</v>
      </c>
      <c r="Y836">
        <v>2.1106436653318499E-2</v>
      </c>
      <c r="Z836" s="5">
        <v>3.3319474365928498E-2</v>
      </c>
      <c r="AA836">
        <v>1.182142923791178</v>
      </c>
      <c r="AB836">
        <v>7.7512662597953161</v>
      </c>
      <c r="AC836">
        <v>0.26717008421922278</v>
      </c>
      <c r="AD836" s="5">
        <v>3.3319474365928602E-2</v>
      </c>
      <c r="AE836">
        <v>14.963834478369341</v>
      </c>
      <c r="AF836">
        <v>0.51577236335757304</v>
      </c>
      <c r="AG836">
        <v>4.0746016705248397E-2</v>
      </c>
      <c r="AH836" t="str">
        <f t="shared" si="27"/>
        <v>False</v>
      </c>
      <c r="AI836">
        <v>1</v>
      </c>
    </row>
    <row r="837" spans="1:35" x14ac:dyDescent="0.35">
      <c r="A837" t="s">
        <v>954</v>
      </c>
      <c r="B837" t="s">
        <v>948</v>
      </c>
      <c r="C837" t="s">
        <v>33</v>
      </c>
      <c r="D837" t="s">
        <v>52</v>
      </c>
      <c r="E837" t="s">
        <v>77</v>
      </c>
      <c r="F837" t="s">
        <v>52</v>
      </c>
      <c r="G837" t="s">
        <v>37</v>
      </c>
      <c r="H837" t="s">
        <v>35</v>
      </c>
      <c r="I837" t="s">
        <v>37</v>
      </c>
      <c r="J837" t="s">
        <v>35</v>
      </c>
      <c r="K837" t="s">
        <v>35</v>
      </c>
      <c r="L837" t="s">
        <v>35</v>
      </c>
      <c r="M837" t="s">
        <v>35</v>
      </c>
      <c r="N837" t="s">
        <v>35</v>
      </c>
      <c r="O837" t="str">
        <f t="shared" ref="O837:O862" si="28">IF(COUNTIF(G837:N837,"True")&gt;1, "True", "False")</f>
        <v>True</v>
      </c>
      <c r="P837" s="3">
        <v>57479.066595741868</v>
      </c>
      <c r="Q837" s="3">
        <v>0</v>
      </c>
      <c r="R837" s="3">
        <v>0</v>
      </c>
      <c r="S837" s="3">
        <v>1672.336428909854</v>
      </c>
      <c r="T837" s="3">
        <v>225.62745371838781</v>
      </c>
      <c r="U837">
        <v>1.6583797166477499E-2</v>
      </c>
      <c r="V837" s="3">
        <v>-52966.517521374109</v>
      </c>
      <c r="W837">
        <v>254.75209531674801</v>
      </c>
      <c r="X837">
        <v>0.55815199781951175</v>
      </c>
      <c r="Y837">
        <v>7.5304473357636695E-2</v>
      </c>
      <c r="Z837" s="5">
        <v>0.11887868667234371</v>
      </c>
      <c r="AA837">
        <v>1.0775135093040771</v>
      </c>
      <c r="AB837">
        <v>7.0652151622723007</v>
      </c>
      <c r="AC837">
        <v>0.95322118174223824</v>
      </c>
      <c r="AD837" s="5">
        <v>0.1188786866723438</v>
      </c>
      <c r="AE837">
        <v>13.63941151017819</v>
      </c>
      <c r="AF837">
        <v>1.8401953315487229</v>
      </c>
      <c r="AG837">
        <v>0.14537543119234941</v>
      </c>
      <c r="AH837" t="str">
        <f t="shared" si="27"/>
        <v>True</v>
      </c>
      <c r="AI837">
        <v>1</v>
      </c>
    </row>
    <row r="838" spans="1:35" x14ac:dyDescent="0.35">
      <c r="A838" t="s">
        <v>955</v>
      </c>
      <c r="B838" t="s">
        <v>948</v>
      </c>
      <c r="C838" t="s">
        <v>33</v>
      </c>
      <c r="D838" t="s">
        <v>52</v>
      </c>
      <c r="E838" t="s">
        <v>77</v>
      </c>
      <c r="F838" t="s">
        <v>52</v>
      </c>
      <c r="G838" t="s">
        <v>37</v>
      </c>
      <c r="H838" t="s">
        <v>35</v>
      </c>
      <c r="I838" t="s">
        <v>37</v>
      </c>
      <c r="J838" t="s">
        <v>35</v>
      </c>
      <c r="K838" t="s">
        <v>37</v>
      </c>
      <c r="L838" t="s">
        <v>35</v>
      </c>
      <c r="M838" t="s">
        <v>35</v>
      </c>
      <c r="N838" t="s">
        <v>35</v>
      </c>
      <c r="O838" t="str">
        <f t="shared" si="28"/>
        <v>True</v>
      </c>
      <c r="P838" s="3">
        <v>71225.429823199855</v>
      </c>
      <c r="Q838" s="3">
        <v>0</v>
      </c>
      <c r="R838" s="3">
        <v>0</v>
      </c>
      <c r="S838" s="3">
        <v>1648.7694055626939</v>
      </c>
      <c r="T838" s="3">
        <v>249.1944770655476</v>
      </c>
      <c r="U838">
        <v>1.47810428524296E-2</v>
      </c>
      <c r="V838" s="3">
        <v>-66241.540281888898</v>
      </c>
      <c r="W838">
        <v>285.8226661438602</v>
      </c>
      <c r="X838">
        <v>0.55028636687559274</v>
      </c>
      <c r="Y838">
        <v>8.3170104301555803E-2</v>
      </c>
      <c r="Z838" s="5">
        <v>0.13129568973697789</v>
      </c>
      <c r="AA838">
        <v>1.062328893582225</v>
      </c>
      <c r="AB838">
        <v>6.9656502136150982</v>
      </c>
      <c r="AC838">
        <v>1.052786130399441</v>
      </c>
      <c r="AD838" s="5">
        <v>0.131295689736978</v>
      </c>
      <c r="AE838">
        <v>13.447201184585129</v>
      </c>
      <c r="AF838">
        <v>2.0324056571417768</v>
      </c>
      <c r="AG838">
        <v>0.16056004691420059</v>
      </c>
      <c r="AH838" t="str">
        <f t="shared" si="27"/>
        <v>True</v>
      </c>
      <c r="AI838">
        <v>1</v>
      </c>
    </row>
    <row r="839" spans="1:35" x14ac:dyDescent="0.35">
      <c r="A839" t="s">
        <v>956</v>
      </c>
      <c r="B839" t="s">
        <v>948</v>
      </c>
      <c r="C839" t="s">
        <v>33</v>
      </c>
      <c r="D839" t="s">
        <v>52</v>
      </c>
      <c r="E839" t="s">
        <v>77</v>
      </c>
      <c r="F839" t="s">
        <v>52</v>
      </c>
      <c r="G839" t="s">
        <v>37</v>
      </c>
      <c r="H839" t="s">
        <v>35</v>
      </c>
      <c r="I839" t="s">
        <v>35</v>
      </c>
      <c r="J839" t="s">
        <v>37</v>
      </c>
      <c r="K839" t="s">
        <v>35</v>
      </c>
      <c r="L839" t="s">
        <v>35</v>
      </c>
      <c r="M839" t="s">
        <v>35</v>
      </c>
      <c r="N839" t="s">
        <v>35</v>
      </c>
      <c r="O839" t="str">
        <f t="shared" si="28"/>
        <v>True</v>
      </c>
      <c r="P839" s="3">
        <v>68419.445303569752</v>
      </c>
      <c r="Q839" s="3">
        <v>0</v>
      </c>
      <c r="R839" s="3">
        <v>0</v>
      </c>
      <c r="S839" s="3">
        <v>1684.9179534966661</v>
      </c>
      <c r="T839" s="3">
        <v>213.0459291315756</v>
      </c>
      <c r="U839">
        <v>1.31551387579633E-2</v>
      </c>
      <c r="V839" s="3">
        <v>-64158.526720938236</v>
      </c>
      <c r="W839">
        <v>321.14880383991942</v>
      </c>
      <c r="X839">
        <v>0.5623511547369523</v>
      </c>
      <c r="Y839">
        <v>7.1105316440196201E-2</v>
      </c>
      <c r="Z839" s="5">
        <v>0.1122497277643429</v>
      </c>
      <c r="AA839">
        <v>1.0856199898396759</v>
      </c>
      <c r="AB839">
        <v>7.1183690473031929</v>
      </c>
      <c r="AC839">
        <v>0.90006729671134611</v>
      </c>
      <c r="AD839" s="5">
        <v>0.112249727764343</v>
      </c>
      <c r="AE839">
        <v>13.742025187844</v>
      </c>
      <c r="AF839">
        <v>1.7375816538829081</v>
      </c>
      <c r="AG839">
        <v>0.13726895065674991</v>
      </c>
      <c r="AH839" t="str">
        <f t="shared" si="27"/>
        <v>True</v>
      </c>
      <c r="AI839">
        <v>1</v>
      </c>
    </row>
    <row r="840" spans="1:35" x14ac:dyDescent="0.35">
      <c r="A840" t="s">
        <v>957</v>
      </c>
      <c r="B840" t="s">
        <v>948</v>
      </c>
      <c r="C840" t="s">
        <v>33</v>
      </c>
      <c r="D840" t="s">
        <v>52</v>
      </c>
      <c r="E840" t="s">
        <v>77</v>
      </c>
      <c r="F840" t="s">
        <v>52</v>
      </c>
      <c r="G840" t="s">
        <v>37</v>
      </c>
      <c r="H840" t="s">
        <v>35</v>
      </c>
      <c r="I840" t="s">
        <v>35</v>
      </c>
      <c r="J840" t="s">
        <v>37</v>
      </c>
      <c r="K840" t="s">
        <v>37</v>
      </c>
      <c r="L840" t="s">
        <v>35</v>
      </c>
      <c r="M840" t="s">
        <v>35</v>
      </c>
      <c r="N840" t="s">
        <v>35</v>
      </c>
      <c r="O840" t="str">
        <f t="shared" si="28"/>
        <v>True</v>
      </c>
      <c r="P840" s="3">
        <v>82165.808531027724</v>
      </c>
      <c r="Q840" s="3">
        <v>0</v>
      </c>
      <c r="R840" s="3">
        <v>0</v>
      </c>
      <c r="S840" s="3">
        <v>1654.155270955046</v>
      </c>
      <c r="T840" s="3">
        <v>243.80861167319571</v>
      </c>
      <c r="U840">
        <v>1.25360192504067E-2</v>
      </c>
      <c r="V840" s="3">
        <v>-77289.636297563804</v>
      </c>
      <c r="W840">
        <v>337.00945986749588</v>
      </c>
      <c r="X840">
        <v>0.55208393073700301</v>
      </c>
      <c r="Y840">
        <v>8.1372540440145497E-2</v>
      </c>
      <c r="Z840" s="5">
        <v>0.12845798273862671</v>
      </c>
      <c r="AA840">
        <v>1.065799094086878</v>
      </c>
      <c r="AB840">
        <v>6.9884041865443418</v>
      </c>
      <c r="AC840">
        <v>1.0300321574701969</v>
      </c>
      <c r="AD840" s="5">
        <v>0.1284579827386268</v>
      </c>
      <c r="AE840">
        <v>13.49112777325163</v>
      </c>
      <c r="AF840">
        <v>1.988479068475284</v>
      </c>
      <c r="AG840">
        <v>0.1570898464095476</v>
      </c>
      <c r="AH840" t="str">
        <f t="shared" si="27"/>
        <v>True</v>
      </c>
      <c r="AI840">
        <v>1</v>
      </c>
    </row>
    <row r="841" spans="1:35" x14ac:dyDescent="0.35">
      <c r="A841" t="s">
        <v>958</v>
      </c>
      <c r="B841" t="s">
        <v>948</v>
      </c>
      <c r="C841" t="s">
        <v>33</v>
      </c>
      <c r="D841" t="s">
        <v>52</v>
      </c>
      <c r="E841" t="s">
        <v>77</v>
      </c>
      <c r="F841" t="s">
        <v>52</v>
      </c>
      <c r="G841" t="s">
        <v>35</v>
      </c>
      <c r="H841" t="s">
        <v>37</v>
      </c>
      <c r="I841" t="s">
        <v>37</v>
      </c>
      <c r="J841" t="s">
        <v>35</v>
      </c>
      <c r="K841" t="s">
        <v>35</v>
      </c>
      <c r="L841" t="s">
        <v>35</v>
      </c>
      <c r="M841" t="s">
        <v>35</v>
      </c>
      <c r="N841" t="s">
        <v>35</v>
      </c>
      <c r="O841" t="str">
        <f t="shared" si="28"/>
        <v>True</v>
      </c>
      <c r="P841" s="3">
        <v>70557.026989560749</v>
      </c>
      <c r="Q841" s="3">
        <v>0</v>
      </c>
      <c r="R841" s="3">
        <v>0</v>
      </c>
      <c r="S841" s="3">
        <v>1706.909457908007</v>
      </c>
      <c r="T841" s="3">
        <v>191.05442472023449</v>
      </c>
      <c r="U841">
        <v>1.1439803620789901E-2</v>
      </c>
      <c r="V841" s="3">
        <v>-66735.938495156064</v>
      </c>
      <c r="W841">
        <v>369.30328670942362</v>
      </c>
      <c r="X841">
        <v>0.56969094708378765</v>
      </c>
      <c r="Y841">
        <v>6.3765524093360795E-2</v>
      </c>
      <c r="Z841" s="5">
        <v>0.1006628347720022</v>
      </c>
      <c r="AA841">
        <v>1.0997894731347251</v>
      </c>
      <c r="AB841">
        <v>7.2112778111871858</v>
      </c>
      <c r="AC841">
        <v>0.80715853282735317</v>
      </c>
      <c r="AD841" s="5">
        <v>0.1006628347720022</v>
      </c>
      <c r="AE841">
        <v>13.9213857358826</v>
      </c>
      <c r="AF841">
        <v>1.5582211058443109</v>
      </c>
      <c r="AG841">
        <v>0.12309946736170101</v>
      </c>
      <c r="AH841" t="str">
        <f t="shared" si="27"/>
        <v>True</v>
      </c>
      <c r="AI841">
        <v>1</v>
      </c>
    </row>
    <row r="842" spans="1:35" x14ac:dyDescent="0.35">
      <c r="A842" t="s">
        <v>959</v>
      </c>
      <c r="B842" t="s">
        <v>948</v>
      </c>
      <c r="C842" t="s">
        <v>33</v>
      </c>
      <c r="D842" t="s">
        <v>52</v>
      </c>
      <c r="E842" t="s">
        <v>77</v>
      </c>
      <c r="F842" t="s">
        <v>52</v>
      </c>
      <c r="G842" t="s">
        <v>35</v>
      </c>
      <c r="H842" t="s">
        <v>37</v>
      </c>
      <c r="I842" t="s">
        <v>37</v>
      </c>
      <c r="J842" t="s">
        <v>35</v>
      </c>
      <c r="K842" t="s">
        <v>37</v>
      </c>
      <c r="L842" t="s">
        <v>35</v>
      </c>
      <c r="M842" t="s">
        <v>35</v>
      </c>
      <c r="N842" t="s">
        <v>35</v>
      </c>
      <c r="O842" t="str">
        <f t="shared" si="28"/>
        <v>True</v>
      </c>
      <c r="P842" s="3">
        <v>84303.390217018721</v>
      </c>
      <c r="Q842" s="3">
        <v>0</v>
      </c>
      <c r="R842" s="3">
        <v>0</v>
      </c>
      <c r="S842" s="3">
        <v>1676.0594135404599</v>
      </c>
      <c r="T842" s="3">
        <v>221.90446908778131</v>
      </c>
      <c r="U842">
        <v>1.1120459968041001E-2</v>
      </c>
      <c r="V842" s="3">
        <v>-79865.3008352631</v>
      </c>
      <c r="W842">
        <v>379.90848297728451</v>
      </c>
      <c r="X842">
        <v>0.559394565566947</v>
      </c>
      <c r="Y842">
        <v>7.4061905610201498E-2</v>
      </c>
      <c r="Z842" s="5">
        <v>0.1169171189814712</v>
      </c>
      <c r="AA842">
        <v>1.07991228873928</v>
      </c>
      <c r="AB842">
        <v>7.0809438679360373</v>
      </c>
      <c r="AC842">
        <v>0.93749247607850161</v>
      </c>
      <c r="AD842" s="5">
        <v>0.11691711898147129</v>
      </c>
      <c r="AE842">
        <v>13.66977580682633</v>
      </c>
      <c r="AF842">
        <v>1.8098310349005819</v>
      </c>
      <c r="AG842">
        <v>0.14297665175714619</v>
      </c>
      <c r="AH842" t="str">
        <f t="shared" si="27"/>
        <v>True</v>
      </c>
      <c r="AI842">
        <v>1</v>
      </c>
    </row>
    <row r="843" spans="1:35" x14ac:dyDescent="0.35">
      <c r="A843" t="s">
        <v>960</v>
      </c>
      <c r="B843" t="s">
        <v>948</v>
      </c>
      <c r="C843" t="s">
        <v>33</v>
      </c>
      <c r="D843" t="s">
        <v>52</v>
      </c>
      <c r="E843" t="s">
        <v>77</v>
      </c>
      <c r="F843" t="s">
        <v>52</v>
      </c>
      <c r="G843" t="s">
        <v>35</v>
      </c>
      <c r="H843" t="s">
        <v>37</v>
      </c>
      <c r="I843" t="s">
        <v>35</v>
      </c>
      <c r="J843" t="s">
        <v>37</v>
      </c>
      <c r="K843" t="s">
        <v>37</v>
      </c>
      <c r="L843" t="s">
        <v>35</v>
      </c>
      <c r="M843" t="s">
        <v>35</v>
      </c>
      <c r="N843" t="s">
        <v>35</v>
      </c>
      <c r="O843" t="str">
        <f t="shared" si="28"/>
        <v>True</v>
      </c>
      <c r="P843" s="3">
        <v>95243.768924846605</v>
      </c>
      <c r="Q843" s="3">
        <v>0</v>
      </c>
      <c r="R843" s="3">
        <v>0</v>
      </c>
      <c r="S843" s="3">
        <v>1688.934849247087</v>
      </c>
      <c r="T843" s="3">
        <v>209.0290333811547</v>
      </c>
      <c r="U843">
        <v>9.2719649582655005E-3</v>
      </c>
      <c r="V843" s="3">
        <v>-91063.188257223504</v>
      </c>
      <c r="W843">
        <v>455.64851630526368</v>
      </c>
      <c r="X843">
        <v>0.56369181702796722</v>
      </c>
      <c r="Y843">
        <v>6.9764654149181302E-2</v>
      </c>
      <c r="Z843" s="5">
        <v>0.1101333040604006</v>
      </c>
      <c r="AA843">
        <v>1.0882081409806319</v>
      </c>
      <c r="AB843">
        <v>7.1353394560502181</v>
      </c>
      <c r="AC843">
        <v>0.88309688796432084</v>
      </c>
      <c r="AD843" s="5">
        <v>0.1101333040604007</v>
      </c>
      <c r="AE843">
        <v>13.774786594691539</v>
      </c>
      <c r="AF843">
        <v>1.7048202470353679</v>
      </c>
      <c r="AG843">
        <v>0.1346807995157944</v>
      </c>
      <c r="AH843" t="str">
        <f t="shared" si="27"/>
        <v>True</v>
      </c>
      <c r="AI843">
        <v>1</v>
      </c>
    </row>
    <row r="844" spans="1:35" x14ac:dyDescent="0.35">
      <c r="A844" t="s">
        <v>961</v>
      </c>
      <c r="B844" t="s">
        <v>948</v>
      </c>
      <c r="C844" t="s">
        <v>33</v>
      </c>
      <c r="D844" t="s">
        <v>52</v>
      </c>
      <c r="E844" t="s">
        <v>77</v>
      </c>
      <c r="F844" t="s">
        <v>52</v>
      </c>
      <c r="G844" t="s">
        <v>35</v>
      </c>
      <c r="H844" t="s">
        <v>37</v>
      </c>
      <c r="I844" t="s">
        <v>35</v>
      </c>
      <c r="J844" t="s">
        <v>37</v>
      </c>
      <c r="K844" t="s">
        <v>35</v>
      </c>
      <c r="L844" t="s">
        <v>35</v>
      </c>
      <c r="M844" t="s">
        <v>35</v>
      </c>
      <c r="N844" t="s">
        <v>35</v>
      </c>
      <c r="O844" t="str">
        <f t="shared" si="28"/>
        <v>True</v>
      </c>
      <c r="P844" s="3">
        <v>81497.405697388618</v>
      </c>
      <c r="Q844" s="3">
        <v>0</v>
      </c>
      <c r="R844" s="3">
        <v>0</v>
      </c>
      <c r="S844" s="3">
        <v>1726.612984373849</v>
      </c>
      <c r="T844" s="3">
        <v>171.35089825439209</v>
      </c>
      <c r="U844">
        <v>8.8826866789773005E-3</v>
      </c>
      <c r="V844" s="3">
        <v>-78070.387732300776</v>
      </c>
      <c r="W844">
        <v>475.61703222819062</v>
      </c>
      <c r="X844">
        <v>0.57626711350035531</v>
      </c>
      <c r="Y844">
        <v>5.7189357676793201E-2</v>
      </c>
      <c r="Z844" s="5">
        <v>9.02814325513457E-2</v>
      </c>
      <c r="AA844">
        <v>1.1124847750972111</v>
      </c>
      <c r="AB844">
        <v>7.29452042405513</v>
      </c>
      <c r="AC844">
        <v>0.72391591995940896</v>
      </c>
      <c r="AD844" s="5">
        <v>9.0281432551345797E-2</v>
      </c>
      <c r="AE844">
        <v>14.08208576072419</v>
      </c>
      <c r="AF844">
        <v>1.3975210810027201</v>
      </c>
      <c r="AG844">
        <v>0.1104041653992149</v>
      </c>
      <c r="AH844" t="str">
        <f t="shared" si="27"/>
        <v>True</v>
      </c>
      <c r="AI844">
        <v>1</v>
      </c>
    </row>
    <row r="845" spans="1:35" x14ac:dyDescent="0.35">
      <c r="A845" t="s">
        <v>962</v>
      </c>
      <c r="B845" t="s">
        <v>948</v>
      </c>
      <c r="C845" t="s">
        <v>33</v>
      </c>
      <c r="D845" t="s">
        <v>52</v>
      </c>
      <c r="E845" t="s">
        <v>77</v>
      </c>
      <c r="F845" t="s">
        <v>52</v>
      </c>
      <c r="G845" t="s">
        <v>35</v>
      </c>
      <c r="H845" t="s">
        <v>35</v>
      </c>
      <c r="I845" t="s">
        <v>37</v>
      </c>
      <c r="J845" t="s">
        <v>35</v>
      </c>
      <c r="K845" t="s">
        <v>37</v>
      </c>
      <c r="L845" t="s">
        <v>35</v>
      </c>
      <c r="M845" t="s">
        <v>35</v>
      </c>
      <c r="N845" t="s">
        <v>35</v>
      </c>
      <c r="O845" t="str">
        <f t="shared" si="28"/>
        <v>True</v>
      </c>
      <c r="P845" s="3">
        <v>61884.029541900658</v>
      </c>
      <c r="Q845" s="3">
        <v>0</v>
      </c>
      <c r="R845" s="3">
        <v>0</v>
      </c>
      <c r="S845" s="3">
        <v>1802.3622859608099</v>
      </c>
      <c r="T845" s="3">
        <v>95.601596667431565</v>
      </c>
      <c r="U845">
        <v>6.5266196308194002E-3</v>
      </c>
      <c r="V845" s="3">
        <v>-59971.997608552017</v>
      </c>
      <c r="W845">
        <v>647.31167364469957</v>
      </c>
      <c r="X845">
        <v>0.60154888293580044</v>
      </c>
      <c r="Y845">
        <v>3.1907588241347998E-2</v>
      </c>
      <c r="Z845" s="5">
        <v>5.0370609020781498E-2</v>
      </c>
      <c r="AA845">
        <v>1.1612912797988419</v>
      </c>
      <c r="AB845">
        <v>7.614542821972158</v>
      </c>
      <c r="AC845">
        <v>0.40389352204238088</v>
      </c>
      <c r="AD845" s="5">
        <v>5.0370609020781498E-2</v>
      </c>
      <c r="AE845">
        <v>14.699889617706869</v>
      </c>
      <c r="AF845">
        <v>0.7797172240200404</v>
      </c>
      <c r="AG845">
        <v>6.1597660697583601E-2</v>
      </c>
      <c r="AH845" t="str">
        <f t="shared" si="27"/>
        <v>True</v>
      </c>
      <c r="AI845">
        <v>1</v>
      </c>
    </row>
    <row r="846" spans="1:35" x14ac:dyDescent="0.35">
      <c r="A846" t="s">
        <v>963</v>
      </c>
      <c r="B846" t="s">
        <v>948</v>
      </c>
      <c r="C846" t="s">
        <v>33</v>
      </c>
      <c r="D846" t="s">
        <v>52</v>
      </c>
      <c r="E846" t="s">
        <v>77</v>
      </c>
      <c r="F846" t="s">
        <v>52</v>
      </c>
      <c r="G846" t="s">
        <v>35</v>
      </c>
      <c r="H846" t="s">
        <v>35</v>
      </c>
      <c r="I846" t="s">
        <v>37</v>
      </c>
      <c r="J846" t="s">
        <v>35</v>
      </c>
      <c r="K846" t="s">
        <v>35</v>
      </c>
      <c r="L846" t="s">
        <v>35</v>
      </c>
      <c r="M846" t="s">
        <v>35</v>
      </c>
      <c r="N846" t="s">
        <v>35</v>
      </c>
      <c r="O846" t="str">
        <f t="shared" si="28"/>
        <v>False</v>
      </c>
      <c r="P846" s="3">
        <v>48137.666314442678</v>
      </c>
      <c r="Q846" s="3">
        <v>0</v>
      </c>
      <c r="R846" s="3">
        <v>0</v>
      </c>
      <c r="S846" s="3">
        <v>1836.7363152121959</v>
      </c>
      <c r="T846" s="3">
        <v>61.227567416045453</v>
      </c>
      <c r="U846">
        <v>5.3735799535062998E-3</v>
      </c>
      <c r="V846" s="3">
        <v>-46913.114966121771</v>
      </c>
      <c r="W846">
        <v>786.20902880795495</v>
      </c>
      <c r="X846">
        <v>0.61302141487859518</v>
      </c>
      <c r="Y846">
        <v>2.04350562985533E-2</v>
      </c>
      <c r="Z846" s="5">
        <v>3.2259606189797001E-2</v>
      </c>
      <c r="AA846">
        <v>1.1834390248621529</v>
      </c>
      <c r="AB846">
        <v>7.7597647452986731</v>
      </c>
      <c r="AC846">
        <v>0.25867159871586592</v>
      </c>
      <c r="AD846" s="5">
        <v>3.2259606189797098E-2</v>
      </c>
      <c r="AE846">
        <v>14.98024082103991</v>
      </c>
      <c r="AF846">
        <v>0.4993660206869997</v>
      </c>
      <c r="AG846">
        <v>3.9449915634273101E-2</v>
      </c>
      <c r="AH846" t="str">
        <f t="shared" si="27"/>
        <v>True</v>
      </c>
      <c r="AI846">
        <v>1</v>
      </c>
    </row>
    <row r="847" spans="1:35" x14ac:dyDescent="0.35">
      <c r="A847" t="s">
        <v>964</v>
      </c>
      <c r="B847" t="s">
        <v>965</v>
      </c>
      <c r="C847" t="s">
        <v>33</v>
      </c>
      <c r="D847" t="s">
        <v>281</v>
      </c>
      <c r="E847" t="s">
        <v>39</v>
      </c>
      <c r="F847" t="s">
        <v>281</v>
      </c>
      <c r="G847" t="s">
        <v>35</v>
      </c>
      <c r="H847" t="s">
        <v>35</v>
      </c>
      <c r="I847" t="s">
        <v>35</v>
      </c>
      <c r="J847" t="s">
        <v>35</v>
      </c>
      <c r="K847" t="s">
        <v>35</v>
      </c>
      <c r="L847" t="s">
        <v>35</v>
      </c>
      <c r="M847" t="s">
        <v>35</v>
      </c>
      <c r="N847" t="s">
        <v>35</v>
      </c>
      <c r="O847" t="str">
        <f t="shared" si="28"/>
        <v>False</v>
      </c>
      <c r="P847" s="3">
        <v>0</v>
      </c>
      <c r="Q847" s="3">
        <v>0</v>
      </c>
      <c r="R847" s="3">
        <v>0</v>
      </c>
      <c r="S847" s="3">
        <v>2769.5133734392102</v>
      </c>
      <c r="T847" s="3">
        <v>0</v>
      </c>
      <c r="U847">
        <v>0</v>
      </c>
      <c r="V847" s="3">
        <v>0</v>
      </c>
      <c r="W847">
        <v>0</v>
      </c>
      <c r="X847">
        <v>0.92434117660201764</v>
      </c>
      <c r="Y847">
        <v>0</v>
      </c>
      <c r="Z847" s="5">
        <v>0</v>
      </c>
      <c r="AA847">
        <v>14.672082168285989</v>
      </c>
      <c r="AB847">
        <v>11.70052122281035</v>
      </c>
      <c r="AC847">
        <v>0</v>
      </c>
      <c r="AD847" s="5">
        <v>0</v>
      </c>
      <c r="AE847">
        <v>185.72255909222781</v>
      </c>
      <c r="AF847">
        <v>0</v>
      </c>
      <c r="AG847">
        <v>-5.3290705182007514E-15</v>
      </c>
      <c r="AH847" t="str">
        <f t="shared" si="27"/>
        <v>False</v>
      </c>
      <c r="AI847">
        <v>0</v>
      </c>
    </row>
    <row r="848" spans="1:35" x14ac:dyDescent="0.35">
      <c r="A848" t="s">
        <v>966</v>
      </c>
      <c r="B848" t="s">
        <v>965</v>
      </c>
      <c r="C848" t="s">
        <v>33</v>
      </c>
      <c r="D848" t="s">
        <v>283</v>
      </c>
      <c r="E848" t="s">
        <v>39</v>
      </c>
      <c r="F848" t="s">
        <v>283</v>
      </c>
      <c r="G848" t="s">
        <v>37</v>
      </c>
      <c r="H848" t="s">
        <v>35</v>
      </c>
      <c r="I848" t="s">
        <v>35</v>
      </c>
      <c r="J848" t="s">
        <v>35</v>
      </c>
      <c r="K848" t="s">
        <v>35</v>
      </c>
      <c r="L848" t="s">
        <v>35</v>
      </c>
      <c r="M848" t="s">
        <v>35</v>
      </c>
      <c r="N848" t="s">
        <v>35</v>
      </c>
      <c r="O848" t="str">
        <f t="shared" si="28"/>
        <v>False</v>
      </c>
      <c r="P848" s="3">
        <v>7940.6048139984969</v>
      </c>
      <c r="Q848" s="3">
        <v>0</v>
      </c>
      <c r="R848" s="3">
        <v>0</v>
      </c>
      <c r="S848" s="3">
        <v>2251.9619368219028</v>
      </c>
      <c r="T848" s="3">
        <v>517.55143661730688</v>
      </c>
      <c r="U848">
        <v>0.27536052297056351</v>
      </c>
      <c r="V848" s="3">
        <v>2410.4239183476411</v>
      </c>
      <c r="W848">
        <v>15.34263891894096</v>
      </c>
      <c r="X848">
        <v>0.75160537815348682</v>
      </c>
      <c r="Y848">
        <v>0.17273579844853079</v>
      </c>
      <c r="Z848" s="5">
        <v>0.1868745035069487</v>
      </c>
      <c r="AA848">
        <v>11.93024409767439</v>
      </c>
      <c r="AB848">
        <v>9.5139921285251496</v>
      </c>
      <c r="AC848">
        <v>2.1865290942851998</v>
      </c>
      <c r="AD848" s="5">
        <v>0.1868745035069487</v>
      </c>
      <c r="AE848">
        <v>151.0157480718278</v>
      </c>
      <c r="AF848">
        <v>34.706811020400004</v>
      </c>
      <c r="AG848">
        <v>2.7418380706115939</v>
      </c>
      <c r="AH848" t="str">
        <f t="shared" si="27"/>
        <v>True</v>
      </c>
      <c r="AI848">
        <v>1</v>
      </c>
    </row>
    <row r="849" spans="1:35" x14ac:dyDescent="0.35">
      <c r="A849" t="s">
        <v>967</v>
      </c>
      <c r="B849" t="s">
        <v>965</v>
      </c>
      <c r="C849" t="s">
        <v>33</v>
      </c>
      <c r="D849" t="s">
        <v>283</v>
      </c>
      <c r="E849" t="s">
        <v>39</v>
      </c>
      <c r="F849" t="s">
        <v>283</v>
      </c>
      <c r="G849" t="s">
        <v>37</v>
      </c>
      <c r="H849" t="s">
        <v>35</v>
      </c>
      <c r="I849" t="s">
        <v>35</v>
      </c>
      <c r="J849" t="s">
        <v>35</v>
      </c>
      <c r="K849" t="s">
        <v>37</v>
      </c>
      <c r="L849" t="s">
        <v>35</v>
      </c>
      <c r="M849" t="s">
        <v>35</v>
      </c>
      <c r="N849" t="s">
        <v>35</v>
      </c>
      <c r="O849" t="str">
        <f t="shared" si="28"/>
        <v>True</v>
      </c>
      <c r="P849" s="3">
        <v>14078.57983489752</v>
      </c>
      <c r="Q849" s="3">
        <v>0</v>
      </c>
      <c r="R849" s="3">
        <v>0</v>
      </c>
      <c r="S849" s="3">
        <v>2023.7428616305081</v>
      </c>
      <c r="T849" s="3">
        <v>745.77051180870183</v>
      </c>
      <c r="U849">
        <v>0.22379382609140749</v>
      </c>
      <c r="V849" s="3">
        <v>836.83040127651657</v>
      </c>
      <c r="W849">
        <v>18.877898243459679</v>
      </c>
      <c r="X849">
        <v>0.67543593607439856</v>
      </c>
      <c r="Y849">
        <v>0.24890524052761909</v>
      </c>
      <c r="Z849" s="5">
        <v>0.2692785378691262</v>
      </c>
      <c r="AA849">
        <v>10.721205334514259</v>
      </c>
      <c r="AB849">
        <v>8.5498219756252976</v>
      </c>
      <c r="AC849">
        <v>3.1506992471850519</v>
      </c>
      <c r="AD849" s="5">
        <v>0.26927853786912631</v>
      </c>
      <c r="AE849">
        <v>135.7114599305603</v>
      </c>
      <c r="AF849">
        <v>50.011099161667502</v>
      </c>
      <c r="AG849">
        <v>3.9508768337717259</v>
      </c>
      <c r="AH849" t="str">
        <f t="shared" si="27"/>
        <v>True</v>
      </c>
      <c r="AI849">
        <v>1</v>
      </c>
    </row>
    <row r="850" spans="1:35" x14ac:dyDescent="0.35">
      <c r="A850" t="s">
        <v>968</v>
      </c>
      <c r="B850" t="s">
        <v>965</v>
      </c>
      <c r="C850" t="s">
        <v>33</v>
      </c>
      <c r="D850" t="s">
        <v>34</v>
      </c>
      <c r="E850" t="s">
        <v>52</v>
      </c>
      <c r="F850" t="s">
        <v>34</v>
      </c>
      <c r="G850" t="s">
        <v>37</v>
      </c>
      <c r="H850" t="s">
        <v>35</v>
      </c>
      <c r="I850" t="s">
        <v>35</v>
      </c>
      <c r="J850" t="s">
        <v>35</v>
      </c>
      <c r="K850" t="s">
        <v>35</v>
      </c>
      <c r="L850" t="s">
        <v>37</v>
      </c>
      <c r="M850" t="s">
        <v>35</v>
      </c>
      <c r="N850" t="s">
        <v>35</v>
      </c>
      <c r="O850" t="str">
        <f t="shared" si="28"/>
        <v>True</v>
      </c>
      <c r="P850" s="3">
        <v>24244.600963261531</v>
      </c>
      <c r="Q850" s="3">
        <v>0</v>
      </c>
      <c r="R850" s="3">
        <v>0</v>
      </c>
      <c r="S850" s="3">
        <v>1598.452081317869</v>
      </c>
      <c r="T850" s="3">
        <v>1171.061292121341</v>
      </c>
      <c r="U850">
        <v>0.2040639682362482</v>
      </c>
      <c r="V850" s="3">
        <v>-823.37512083472029</v>
      </c>
      <c r="W850">
        <v>20.703101644955922</v>
      </c>
      <c r="X850">
        <v>0.53349266761348402</v>
      </c>
      <c r="Y850">
        <v>0.39084850898853363</v>
      </c>
      <c r="Z850" s="5">
        <v>0.42284009290307373</v>
      </c>
      <c r="AA850">
        <v>8.4681375811664132</v>
      </c>
      <c r="AB850">
        <v>6.7530717419428354</v>
      </c>
      <c r="AC850">
        <v>4.9474494808675136</v>
      </c>
      <c r="AD850" s="5">
        <v>0.42284009290307373</v>
      </c>
      <c r="AE850">
        <v>107.1916149514736</v>
      </c>
      <c r="AF850">
        <v>78.530944140754201</v>
      </c>
      <c r="AG850">
        <v>6.203944587119576</v>
      </c>
      <c r="AH850" t="str">
        <f t="shared" si="27"/>
        <v>True</v>
      </c>
      <c r="AI850">
        <v>1</v>
      </c>
    </row>
    <row r="851" spans="1:35" x14ac:dyDescent="0.35">
      <c r="A851" t="s">
        <v>969</v>
      </c>
      <c r="B851" t="s">
        <v>965</v>
      </c>
      <c r="C851" t="s">
        <v>33</v>
      </c>
      <c r="D851" t="s">
        <v>34</v>
      </c>
      <c r="E851" t="s">
        <v>52</v>
      </c>
      <c r="F851" t="s">
        <v>34</v>
      </c>
      <c r="G851" t="s">
        <v>37</v>
      </c>
      <c r="H851" t="s">
        <v>35</v>
      </c>
      <c r="I851" t="s">
        <v>35</v>
      </c>
      <c r="J851" t="s">
        <v>35</v>
      </c>
      <c r="K851" t="s">
        <v>37</v>
      </c>
      <c r="L851" t="s">
        <v>37</v>
      </c>
      <c r="M851" t="s">
        <v>35</v>
      </c>
      <c r="N851" t="s">
        <v>35</v>
      </c>
      <c r="O851" t="str">
        <f t="shared" si="28"/>
        <v>True</v>
      </c>
      <c r="P851" s="3">
        <v>30382.575984160561</v>
      </c>
      <c r="Q851" s="3">
        <v>0</v>
      </c>
      <c r="R851" s="3">
        <v>0</v>
      </c>
      <c r="S851" s="3">
        <v>1380.7378004094339</v>
      </c>
      <c r="T851" s="3">
        <v>1388.7755730297749</v>
      </c>
      <c r="U851">
        <v>0.19311198078933051</v>
      </c>
      <c r="V851" s="3">
        <v>-2607.0645235650518</v>
      </c>
      <c r="W851">
        <v>21.877239616101139</v>
      </c>
      <c r="X851">
        <v>0.46082926164911409</v>
      </c>
      <c r="Y851">
        <v>0.4635119149529035</v>
      </c>
      <c r="Z851" s="5">
        <v>0.5014511164122597</v>
      </c>
      <c r="AA851">
        <v>7.3147501849065737</v>
      </c>
      <c r="AB851">
        <v>5.8332817930267611</v>
      </c>
      <c r="AC851">
        <v>5.8672394297835888</v>
      </c>
      <c r="AD851" s="5">
        <v>0.50145111641225981</v>
      </c>
      <c r="AE851">
        <v>92.591774492488284</v>
      </c>
      <c r="AF851">
        <v>93.130784599739513</v>
      </c>
      <c r="AG851">
        <v>7.3573319833794164</v>
      </c>
      <c r="AH851" t="str">
        <f t="shared" si="27"/>
        <v>True</v>
      </c>
      <c r="AI851">
        <v>1</v>
      </c>
    </row>
    <row r="852" spans="1:35" x14ac:dyDescent="0.35">
      <c r="A852" t="s">
        <v>970</v>
      </c>
      <c r="B852" t="s">
        <v>965</v>
      </c>
      <c r="C852" t="s">
        <v>33</v>
      </c>
      <c r="D852" t="s">
        <v>283</v>
      </c>
      <c r="E852" t="s">
        <v>39</v>
      </c>
      <c r="F852" t="s">
        <v>283</v>
      </c>
      <c r="G852" t="s">
        <v>37</v>
      </c>
      <c r="H852" t="s">
        <v>35</v>
      </c>
      <c r="I852" t="s">
        <v>35</v>
      </c>
      <c r="J852" t="s">
        <v>35</v>
      </c>
      <c r="K852" t="s">
        <v>35</v>
      </c>
      <c r="L852" t="s">
        <v>35</v>
      </c>
      <c r="M852" t="s">
        <v>37</v>
      </c>
      <c r="N852" t="s">
        <v>35</v>
      </c>
      <c r="O852" t="str">
        <f t="shared" si="28"/>
        <v>True</v>
      </c>
      <c r="P852" s="3">
        <v>17147.567345347041</v>
      </c>
      <c r="Q852" s="3">
        <v>0</v>
      </c>
      <c r="R852" s="3">
        <v>0</v>
      </c>
      <c r="S852" s="3">
        <v>2025.545733069165</v>
      </c>
      <c r="T852" s="3">
        <v>743.96764037004493</v>
      </c>
      <c r="U852">
        <v>0.18329611950289221</v>
      </c>
      <c r="V852" s="3">
        <v>-2268.2145379461422</v>
      </c>
      <c r="W852">
        <v>23.04880805947144</v>
      </c>
      <c r="X852">
        <v>0.67603765489000434</v>
      </c>
      <c r="Y852">
        <v>0.24830352171201331</v>
      </c>
      <c r="Z852" s="5">
        <v>0.26862756739324872</v>
      </c>
      <c r="AA852">
        <v>10.73075642682547</v>
      </c>
      <c r="AB852">
        <v>8.5574386694937257</v>
      </c>
      <c r="AC852">
        <v>3.1430825533166238</v>
      </c>
      <c r="AD852" s="5">
        <v>0.26862756739324872</v>
      </c>
      <c r="AE852">
        <v>135.83235983323371</v>
      </c>
      <c r="AF852">
        <v>49.890199258994038</v>
      </c>
      <c r="AG852">
        <v>3.9413257414605241</v>
      </c>
      <c r="AH852" t="str">
        <f t="shared" si="27"/>
        <v>True</v>
      </c>
      <c r="AI852">
        <v>1</v>
      </c>
    </row>
    <row r="853" spans="1:35" x14ac:dyDescent="0.35">
      <c r="A853" t="s">
        <v>971</v>
      </c>
      <c r="B853" t="s">
        <v>965</v>
      </c>
      <c r="C853" t="s">
        <v>33</v>
      </c>
      <c r="D853" t="s">
        <v>283</v>
      </c>
      <c r="E853" t="s">
        <v>39</v>
      </c>
      <c r="F853" t="s">
        <v>283</v>
      </c>
      <c r="G853" t="s">
        <v>35</v>
      </c>
      <c r="H853" t="s">
        <v>35</v>
      </c>
      <c r="I853" t="s">
        <v>35</v>
      </c>
      <c r="J853" t="s">
        <v>35</v>
      </c>
      <c r="K853" t="s">
        <v>35</v>
      </c>
      <c r="L853" t="s">
        <v>37</v>
      </c>
      <c r="M853" t="s">
        <v>35</v>
      </c>
      <c r="N853" t="s">
        <v>35</v>
      </c>
      <c r="O853" t="str">
        <f t="shared" si="28"/>
        <v>False</v>
      </c>
      <c r="P853" s="3">
        <v>16303.996149263039</v>
      </c>
      <c r="Q853" s="3">
        <v>0</v>
      </c>
      <c r="R853" s="3">
        <v>0</v>
      </c>
      <c r="S853" s="3">
        <v>2086.9159957953038</v>
      </c>
      <c r="T853" s="3">
        <v>682.59737764390604</v>
      </c>
      <c r="U853">
        <v>0.17687737872227199</v>
      </c>
      <c r="V853" s="3">
        <v>-2652.0485963849192</v>
      </c>
      <c r="W853">
        <v>23.88523115271683</v>
      </c>
      <c r="X853">
        <v>0.69652033657722434</v>
      </c>
      <c r="Y853">
        <v>0.2278208400247933</v>
      </c>
      <c r="Z853" s="5">
        <v>0.24646834501335141</v>
      </c>
      <c r="AA853">
        <v>11.05587835836864</v>
      </c>
      <c r="AB853">
        <v>8.8167131212306877</v>
      </c>
      <c r="AC853">
        <v>2.8838081015796622</v>
      </c>
      <c r="AD853" s="5">
        <v>0.24646834501335149</v>
      </c>
      <c r="AE853">
        <v>139.94782732112199</v>
      </c>
      <c r="AF853">
        <v>45.774731771105749</v>
      </c>
      <c r="AG853">
        <v>3.6162038099173479</v>
      </c>
      <c r="AH853" t="str">
        <f t="shared" si="27"/>
        <v>False</v>
      </c>
      <c r="AI853">
        <v>1</v>
      </c>
    </row>
    <row r="854" spans="1:35" x14ac:dyDescent="0.35">
      <c r="A854" t="s">
        <v>972</v>
      </c>
      <c r="B854" t="s">
        <v>965</v>
      </c>
      <c r="C854" t="s">
        <v>33</v>
      </c>
      <c r="D854" t="s">
        <v>283</v>
      </c>
      <c r="E854" t="s">
        <v>52</v>
      </c>
      <c r="F854" t="s">
        <v>283</v>
      </c>
      <c r="G854" t="s">
        <v>37</v>
      </c>
      <c r="H854" t="s">
        <v>35</v>
      </c>
      <c r="I854" t="s">
        <v>35</v>
      </c>
      <c r="J854" t="s">
        <v>35</v>
      </c>
      <c r="K854" t="s">
        <v>37</v>
      </c>
      <c r="L854" t="s">
        <v>35</v>
      </c>
      <c r="M854" t="s">
        <v>37</v>
      </c>
      <c r="N854" t="s">
        <v>35</v>
      </c>
      <c r="O854" t="str">
        <f t="shared" si="28"/>
        <v>True</v>
      </c>
      <c r="P854" s="3">
        <v>23285.54236624606</v>
      </c>
      <c r="Q854" s="3">
        <v>0</v>
      </c>
      <c r="R854" s="3">
        <v>0</v>
      </c>
      <c r="S854" s="3">
        <v>1805.1159838244421</v>
      </c>
      <c r="T854" s="3">
        <v>964.39738961476758</v>
      </c>
      <c r="U854">
        <v>0.17497314995799229</v>
      </c>
      <c r="V854" s="3">
        <v>-3997.594573950711</v>
      </c>
      <c r="W854">
        <v>24.145173573673361</v>
      </c>
      <c r="X854">
        <v>0.60246794559413153</v>
      </c>
      <c r="Y854">
        <v>0.32187323100788612</v>
      </c>
      <c r="Z854" s="5">
        <v>0.34821907663048007</v>
      </c>
      <c r="AA854">
        <v>9.5629832633989125</v>
      </c>
      <c r="AB854">
        <v>7.6261765265079946</v>
      </c>
      <c r="AC854">
        <v>4.0743446963023553</v>
      </c>
      <c r="AD854" s="5">
        <v>0.34821907663048002</v>
      </c>
      <c r="AE854">
        <v>121.05042105568251</v>
      </c>
      <c r="AF854">
        <v>64.67213803654532</v>
      </c>
      <c r="AG854">
        <v>5.1090989048870767</v>
      </c>
      <c r="AH854" t="str">
        <f t="shared" si="27"/>
        <v>True</v>
      </c>
      <c r="AI854">
        <v>1</v>
      </c>
    </row>
    <row r="855" spans="1:35" x14ac:dyDescent="0.35">
      <c r="A855" t="s">
        <v>973</v>
      </c>
      <c r="B855" t="s">
        <v>965</v>
      </c>
      <c r="C855" t="s">
        <v>33</v>
      </c>
      <c r="D855" t="s">
        <v>34</v>
      </c>
      <c r="E855" t="s">
        <v>52</v>
      </c>
      <c r="F855" t="s">
        <v>34</v>
      </c>
      <c r="G855" t="s">
        <v>37</v>
      </c>
      <c r="H855" t="s">
        <v>35</v>
      </c>
      <c r="I855" t="s">
        <v>35</v>
      </c>
      <c r="J855" t="s">
        <v>35</v>
      </c>
      <c r="K855" t="s">
        <v>35</v>
      </c>
      <c r="L855" t="s">
        <v>37</v>
      </c>
      <c r="M855" t="s">
        <v>37</v>
      </c>
      <c r="N855" t="s">
        <v>35</v>
      </c>
      <c r="O855" t="str">
        <f t="shared" si="28"/>
        <v>True</v>
      </c>
      <c r="P855" s="3">
        <v>33451.563494610084</v>
      </c>
      <c r="Q855" s="3">
        <v>0</v>
      </c>
      <c r="R855" s="3">
        <v>0</v>
      </c>
      <c r="S855" s="3">
        <v>1387.0508282290509</v>
      </c>
      <c r="T855" s="3">
        <v>1382.4625452101591</v>
      </c>
      <c r="U855">
        <v>0.1745977709463353</v>
      </c>
      <c r="V855" s="3">
        <v>-5802.3125904069057</v>
      </c>
      <c r="W855">
        <v>24.197084840027149</v>
      </c>
      <c r="X855">
        <v>0.46293627135654852</v>
      </c>
      <c r="Y855">
        <v>0.46140490524546918</v>
      </c>
      <c r="Z855" s="5">
        <v>0.49917164454541091</v>
      </c>
      <c r="AA855">
        <v>7.3481947834372772</v>
      </c>
      <c r="AB855">
        <v>5.8599528019816258</v>
      </c>
      <c r="AC855">
        <v>5.8405684208287241</v>
      </c>
      <c r="AD855" s="5">
        <v>0.49917164454541091</v>
      </c>
      <c r="AE855">
        <v>93.015123840978205</v>
      </c>
      <c r="AF855">
        <v>92.707435251249606</v>
      </c>
      <c r="AG855">
        <v>7.323887384848712</v>
      </c>
      <c r="AH855" t="str">
        <f t="shared" si="27"/>
        <v>True</v>
      </c>
      <c r="AI855">
        <v>1</v>
      </c>
    </row>
    <row r="856" spans="1:35" x14ac:dyDescent="0.35">
      <c r="A856" t="s">
        <v>974</v>
      </c>
      <c r="B856" t="s">
        <v>965</v>
      </c>
      <c r="C856" t="s">
        <v>33</v>
      </c>
      <c r="D856" t="s">
        <v>281</v>
      </c>
      <c r="E856" t="s">
        <v>39</v>
      </c>
      <c r="F856" t="s">
        <v>281</v>
      </c>
      <c r="G856" t="s">
        <v>35</v>
      </c>
      <c r="H856" t="s">
        <v>35</v>
      </c>
      <c r="I856" t="s">
        <v>35</v>
      </c>
      <c r="J856" t="s">
        <v>35</v>
      </c>
      <c r="K856" t="s">
        <v>37</v>
      </c>
      <c r="L856" t="s">
        <v>35</v>
      </c>
      <c r="M856" t="s">
        <v>35</v>
      </c>
      <c r="N856" t="s">
        <v>35</v>
      </c>
      <c r="O856" t="str">
        <f t="shared" si="28"/>
        <v>False</v>
      </c>
      <c r="P856" s="3">
        <v>6137.9750208990263</v>
      </c>
      <c r="Q856" s="3">
        <v>0</v>
      </c>
      <c r="R856" s="3">
        <v>0</v>
      </c>
      <c r="S856" s="3">
        <v>2520.4669358799579</v>
      </c>
      <c r="T856" s="3">
        <v>249.04643755925181</v>
      </c>
      <c r="U856">
        <v>0.17141821135881899</v>
      </c>
      <c r="V856" s="3">
        <v>-1157.046269713991</v>
      </c>
      <c r="W856">
        <v>24.645905723661329</v>
      </c>
      <c r="X856">
        <v>0.84122048134565564</v>
      </c>
      <c r="Y856">
        <v>8.3120695256361996E-2</v>
      </c>
      <c r="Z856" s="5">
        <v>8.9924258878007604E-2</v>
      </c>
      <c r="AA856">
        <v>13.352706053105649</v>
      </c>
      <c r="AB856">
        <v>10.648360523362729</v>
      </c>
      <c r="AC856">
        <v>1.05216069944762</v>
      </c>
      <c r="AD856" s="5">
        <v>8.9924258878007604E-2</v>
      </c>
      <c r="AE856">
        <v>169.02159560893219</v>
      </c>
      <c r="AF856">
        <v>16.70096348329556</v>
      </c>
      <c r="AG856">
        <v>1.319376115180344</v>
      </c>
      <c r="AH856" t="str">
        <f t="shared" si="27"/>
        <v>False</v>
      </c>
      <c r="AI856">
        <v>1</v>
      </c>
    </row>
    <row r="857" spans="1:35" x14ac:dyDescent="0.35">
      <c r="A857" t="s">
        <v>975</v>
      </c>
      <c r="B857" t="s">
        <v>965</v>
      </c>
      <c r="C857" t="s">
        <v>33</v>
      </c>
      <c r="D857" t="s">
        <v>283</v>
      </c>
      <c r="E857" t="s">
        <v>52</v>
      </c>
      <c r="F857" t="s">
        <v>283</v>
      </c>
      <c r="G857" t="s">
        <v>35</v>
      </c>
      <c r="H857" t="s">
        <v>35</v>
      </c>
      <c r="I857" t="s">
        <v>35</v>
      </c>
      <c r="J857" t="s">
        <v>35</v>
      </c>
      <c r="K857" t="s">
        <v>37</v>
      </c>
      <c r="L857" t="s">
        <v>37</v>
      </c>
      <c r="M857" t="s">
        <v>35</v>
      </c>
      <c r="N857" t="s">
        <v>35</v>
      </c>
      <c r="O857" t="str">
        <f t="shared" si="28"/>
        <v>True</v>
      </c>
      <c r="P857" s="3">
        <v>22441.971170162062</v>
      </c>
      <c r="Q857" s="3">
        <v>0</v>
      </c>
      <c r="R857" s="3">
        <v>0</v>
      </c>
      <c r="S857" s="3">
        <v>1859.533741327318</v>
      </c>
      <c r="T857" s="3">
        <v>909.97963211189165</v>
      </c>
      <c r="U857">
        <v>0.17130593658893789</v>
      </c>
      <c r="V857" s="3">
        <v>-4242.3785279242293</v>
      </c>
      <c r="W857">
        <v>24.6620587738634</v>
      </c>
      <c r="X857">
        <v>0.62063018827569971</v>
      </c>
      <c r="Y857">
        <v>0.30371098832631788</v>
      </c>
      <c r="Z857" s="5">
        <v>0.3285702249496163</v>
      </c>
      <c r="AA857">
        <v>9.8512728297730128</v>
      </c>
      <c r="AB857">
        <v>7.8560783326037944</v>
      </c>
      <c r="AC857">
        <v>3.8444428902065551</v>
      </c>
      <c r="AD857" s="5">
        <v>0.32857022494961619</v>
      </c>
      <c r="AE857">
        <v>124.6996560730761</v>
      </c>
      <c r="AF857">
        <v>61.022903019151677</v>
      </c>
      <c r="AG857">
        <v>4.8208093385129764</v>
      </c>
      <c r="AH857" t="str">
        <f t="shared" si="27"/>
        <v>False</v>
      </c>
      <c r="AI857">
        <v>1</v>
      </c>
    </row>
    <row r="858" spans="1:35" x14ac:dyDescent="0.35">
      <c r="A858" t="s">
        <v>976</v>
      </c>
      <c r="B858" t="s">
        <v>965</v>
      </c>
      <c r="C858" t="s">
        <v>33</v>
      </c>
      <c r="D858" t="s">
        <v>34</v>
      </c>
      <c r="E858" t="s">
        <v>52</v>
      </c>
      <c r="F858" t="s">
        <v>34</v>
      </c>
      <c r="G858" t="s">
        <v>37</v>
      </c>
      <c r="H858" t="s">
        <v>35</v>
      </c>
      <c r="I858" t="s">
        <v>35</v>
      </c>
      <c r="J858" t="s">
        <v>35</v>
      </c>
      <c r="K858" t="s">
        <v>37</v>
      </c>
      <c r="L858" t="s">
        <v>37</v>
      </c>
      <c r="M858" t="s">
        <v>37</v>
      </c>
      <c r="N858" t="s">
        <v>35</v>
      </c>
      <c r="O858" t="str">
        <f t="shared" si="28"/>
        <v>True</v>
      </c>
      <c r="P858" s="3">
        <v>39589.538515509099</v>
      </c>
      <c r="Q858" s="3">
        <v>0</v>
      </c>
      <c r="R858" s="3">
        <v>0</v>
      </c>
      <c r="S858" s="3">
        <v>1179.1959612419171</v>
      </c>
      <c r="T858" s="3">
        <v>1590.3174121972929</v>
      </c>
      <c r="U858">
        <v>0.16970909469881601</v>
      </c>
      <c r="V858" s="3">
        <v>-7783.1902715632386</v>
      </c>
      <c r="W858">
        <v>24.894111208157771</v>
      </c>
      <c r="X858">
        <v>0.39356350206215218</v>
      </c>
      <c r="Y858">
        <v>0.53077767453986535</v>
      </c>
      <c r="Z858" s="5">
        <v>0.57422268744000338</v>
      </c>
      <c r="AA858">
        <v>6.2470397152722574</v>
      </c>
      <c r="AB858">
        <v>4.9818164817993953</v>
      </c>
      <c r="AC858">
        <v>6.7187047410109546</v>
      </c>
      <c r="AD858" s="5">
        <v>0.57422268744000349</v>
      </c>
      <c r="AE858">
        <v>79.076452092053898</v>
      </c>
      <c r="AF858">
        <v>106.6461070001739</v>
      </c>
      <c r="AG858">
        <v>8.4250424530137309</v>
      </c>
      <c r="AH858" t="str">
        <f t="shared" si="27"/>
        <v>True</v>
      </c>
      <c r="AI858">
        <v>1</v>
      </c>
    </row>
    <row r="859" spans="1:35" x14ac:dyDescent="0.35">
      <c r="A859" t="s">
        <v>977</v>
      </c>
      <c r="B859" t="s">
        <v>965</v>
      </c>
      <c r="C859" t="s">
        <v>33</v>
      </c>
      <c r="D859" t="s">
        <v>34</v>
      </c>
      <c r="E859" t="s">
        <v>52</v>
      </c>
      <c r="F859" t="s">
        <v>34</v>
      </c>
      <c r="G859" t="s">
        <v>37</v>
      </c>
      <c r="H859" t="s">
        <v>35</v>
      </c>
      <c r="I859" t="s">
        <v>37</v>
      </c>
      <c r="J859" t="s">
        <v>35</v>
      </c>
      <c r="K859" t="s">
        <v>35</v>
      </c>
      <c r="L859" t="s">
        <v>37</v>
      </c>
      <c r="M859" t="s">
        <v>35</v>
      </c>
      <c r="N859" t="s">
        <v>35</v>
      </c>
      <c r="O859" t="str">
        <f t="shared" si="28"/>
        <v>True</v>
      </c>
      <c r="P859" s="3">
        <v>31060.60481399847</v>
      </c>
      <c r="Q859" s="3">
        <v>0</v>
      </c>
      <c r="R859" s="3">
        <v>0</v>
      </c>
      <c r="S859" s="3">
        <v>1572.2633633100841</v>
      </c>
      <c r="T859" s="3">
        <v>1197.250010129125</v>
      </c>
      <c r="U859">
        <v>0.16284584549734649</v>
      </c>
      <c r="V859" s="3">
        <v>-7115.6046114159653</v>
      </c>
      <c r="W859">
        <v>25.943290500075701</v>
      </c>
      <c r="X859">
        <v>0.52475203084704969</v>
      </c>
      <c r="Y859">
        <v>0.39958914575496801</v>
      </c>
      <c r="Z859" s="5">
        <v>0.43229616495491707</v>
      </c>
      <c r="AA859">
        <v>8.3293973150325353</v>
      </c>
      <c r="AB859">
        <v>6.6424307702158192</v>
      </c>
      <c r="AC859">
        <v>5.0580904525945307</v>
      </c>
      <c r="AD859" s="5">
        <v>0.43229616495491707</v>
      </c>
      <c r="AE859">
        <v>105.4354090510448</v>
      </c>
      <c r="AF859">
        <v>80.287150041183025</v>
      </c>
      <c r="AG859">
        <v>6.3426848532534539</v>
      </c>
      <c r="AH859" t="str">
        <f t="shared" si="27"/>
        <v>True</v>
      </c>
      <c r="AI859">
        <v>1</v>
      </c>
    </row>
    <row r="860" spans="1:35" x14ac:dyDescent="0.35">
      <c r="A860" t="s">
        <v>978</v>
      </c>
      <c r="B860" t="s">
        <v>965</v>
      </c>
      <c r="C860" t="s">
        <v>33</v>
      </c>
      <c r="D860" t="s">
        <v>34</v>
      </c>
      <c r="E860" t="s">
        <v>52</v>
      </c>
      <c r="F860" t="s">
        <v>34</v>
      </c>
      <c r="G860" t="s">
        <v>37</v>
      </c>
      <c r="H860" t="s">
        <v>35</v>
      </c>
      <c r="I860" t="s">
        <v>37</v>
      </c>
      <c r="J860" t="s">
        <v>35</v>
      </c>
      <c r="K860" t="s">
        <v>37</v>
      </c>
      <c r="L860" t="s">
        <v>37</v>
      </c>
      <c r="M860" t="s">
        <v>35</v>
      </c>
      <c r="N860" t="s">
        <v>35</v>
      </c>
      <c r="O860" t="str">
        <f t="shared" si="28"/>
        <v>True</v>
      </c>
      <c r="P860" s="3">
        <v>37166.568037789082</v>
      </c>
      <c r="Q860" s="3">
        <v>0</v>
      </c>
      <c r="R860" s="3">
        <v>0</v>
      </c>
      <c r="S860" s="3">
        <v>1354.538761870077</v>
      </c>
      <c r="T860" s="3">
        <v>1414.9746115691321</v>
      </c>
      <c r="U860">
        <v>0.16084143139531601</v>
      </c>
      <c r="V860" s="3">
        <v>-8867.0758064064357</v>
      </c>
      <c r="W860">
        <v>26.266597106341941</v>
      </c>
      <c r="X860">
        <v>0.4520851803453152</v>
      </c>
      <c r="Y860">
        <v>0.47225599625670239</v>
      </c>
      <c r="Z860" s="5">
        <v>0.51091091494243357</v>
      </c>
      <c r="AA860">
        <v>7.175955243576432</v>
      </c>
      <c r="AB860">
        <v>5.722597219560952</v>
      </c>
      <c r="AC860">
        <v>5.9779240032493979</v>
      </c>
      <c r="AD860" s="5">
        <v>0.51091091494243357</v>
      </c>
      <c r="AE860">
        <v>90.834876500967496</v>
      </c>
      <c r="AF860">
        <v>94.887682591260287</v>
      </c>
      <c r="AG860">
        <v>7.4961269247095572</v>
      </c>
      <c r="AH860" t="str">
        <f t="shared" si="27"/>
        <v>True</v>
      </c>
      <c r="AI860">
        <v>1</v>
      </c>
    </row>
    <row r="861" spans="1:35" x14ac:dyDescent="0.35">
      <c r="A861" t="s">
        <v>979</v>
      </c>
      <c r="B861" t="s">
        <v>965</v>
      </c>
      <c r="C861" t="s">
        <v>33</v>
      </c>
      <c r="D861" t="s">
        <v>283</v>
      </c>
      <c r="E861" t="s">
        <v>39</v>
      </c>
      <c r="F861" t="s">
        <v>283</v>
      </c>
      <c r="G861" t="s">
        <v>37</v>
      </c>
      <c r="H861" t="s">
        <v>35</v>
      </c>
      <c r="I861" t="s">
        <v>37</v>
      </c>
      <c r="J861" t="s">
        <v>35</v>
      </c>
      <c r="K861" t="s">
        <v>37</v>
      </c>
      <c r="L861" t="s">
        <v>35</v>
      </c>
      <c r="M861" t="s">
        <v>35</v>
      </c>
      <c r="N861" t="s">
        <v>35</v>
      </c>
      <c r="O861" t="str">
        <f t="shared" si="28"/>
        <v>True</v>
      </c>
      <c r="P861" s="3">
        <v>20898.504813998479</v>
      </c>
      <c r="Q861" s="3">
        <v>0</v>
      </c>
      <c r="R861" s="3">
        <v>0</v>
      </c>
      <c r="S861" s="3">
        <v>1996.126816758918</v>
      </c>
      <c r="T861" s="3">
        <v>773.38655668029139</v>
      </c>
      <c r="U861">
        <v>0.1563446934247551</v>
      </c>
      <c r="V861" s="3">
        <v>-5430.7736803926509</v>
      </c>
      <c r="W861">
        <v>27.022068891013411</v>
      </c>
      <c r="X861">
        <v>0.66621892067576916</v>
      </c>
      <c r="Y861">
        <v>0.25812225592624849</v>
      </c>
      <c r="Z861" s="5">
        <v>0.2792499809162835</v>
      </c>
      <c r="AA861">
        <v>10.57490350278999</v>
      </c>
      <c r="AB861">
        <v>8.4331508946299891</v>
      </c>
      <c r="AC861">
        <v>3.2673703281803612</v>
      </c>
      <c r="AD861" s="5">
        <v>0.27924998091628361</v>
      </c>
      <c r="AE861">
        <v>133.8595380099998</v>
      </c>
      <c r="AF861">
        <v>51.863021082227952</v>
      </c>
      <c r="AG861">
        <v>4.0971786654960027</v>
      </c>
      <c r="AH861" t="str">
        <f t="shared" si="27"/>
        <v>True</v>
      </c>
      <c r="AI861">
        <v>1</v>
      </c>
    </row>
    <row r="862" spans="1:35" x14ac:dyDescent="0.35">
      <c r="A862" t="s">
        <v>980</v>
      </c>
      <c r="B862" t="s">
        <v>965</v>
      </c>
      <c r="C862" t="s">
        <v>33</v>
      </c>
      <c r="D862" t="s">
        <v>283</v>
      </c>
      <c r="E862" t="s">
        <v>39</v>
      </c>
      <c r="F862" t="s">
        <v>283</v>
      </c>
      <c r="G862" t="s">
        <v>37</v>
      </c>
      <c r="H862" t="s">
        <v>35</v>
      </c>
      <c r="I862" t="s">
        <v>37</v>
      </c>
      <c r="J862" t="s">
        <v>35</v>
      </c>
      <c r="K862" t="s">
        <v>35</v>
      </c>
      <c r="L862" t="s">
        <v>35</v>
      </c>
      <c r="M862" t="s">
        <v>35</v>
      </c>
      <c r="N862" t="s">
        <v>35</v>
      </c>
      <c r="O862" t="str">
        <f t="shared" si="28"/>
        <v>True</v>
      </c>
      <c r="P862" s="3">
        <v>14760.60481399847</v>
      </c>
      <c r="Q862" s="3">
        <v>0</v>
      </c>
      <c r="R862" s="3">
        <v>0</v>
      </c>
      <c r="S862" s="3">
        <v>2224.0164322329638</v>
      </c>
      <c r="T862" s="3">
        <v>545.49694120624599</v>
      </c>
      <c r="U862">
        <v>0.15613127589238041</v>
      </c>
      <c r="V862" s="3">
        <v>-3850.6659898735511</v>
      </c>
      <c r="W862">
        <v>27.059005649708421</v>
      </c>
      <c r="X862">
        <v>0.74227840366034703</v>
      </c>
      <c r="Y862">
        <v>0.18206277294167059</v>
      </c>
      <c r="Z862" s="5">
        <v>0.19696490597871441</v>
      </c>
      <c r="AA862">
        <v>11.782196883497569</v>
      </c>
      <c r="AB862">
        <v>9.3959291602575554</v>
      </c>
      <c r="AC862">
        <v>2.3045920625527931</v>
      </c>
      <c r="AD862" s="5">
        <v>0.19696490597871441</v>
      </c>
      <c r="AE862">
        <v>149.14173270250089</v>
      </c>
      <c r="AF862">
        <v>36.580826389726873</v>
      </c>
      <c r="AG862">
        <v>2.889885284788416</v>
      </c>
      <c r="AH862" t="str">
        <f t="shared" si="27"/>
        <v>True</v>
      </c>
      <c r="AI862">
        <v>1</v>
      </c>
    </row>
  </sheetData>
  <autoFilter ref="A1:AG862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782B9A-6163-461B-AE70-DE1C025DEB85}">
  <dimension ref="A1:B36"/>
  <sheetViews>
    <sheetView topLeftCell="A23" workbookViewId="0">
      <selection activeCell="B27" sqref="B27"/>
    </sheetView>
  </sheetViews>
  <sheetFormatPr baseColWidth="10" defaultRowHeight="14.5" x14ac:dyDescent="0.35"/>
  <cols>
    <col min="1" max="1" width="38.54296875" bestFit="1" customWidth="1"/>
    <col min="2" max="2" width="179.36328125" bestFit="1" customWidth="1"/>
  </cols>
  <sheetData>
    <row r="1" spans="1:2" ht="15" thickBot="1" x14ac:dyDescent="0.4">
      <c r="A1" s="12" t="s">
        <v>982</v>
      </c>
      <c r="B1" s="13" t="s">
        <v>983</v>
      </c>
    </row>
    <row r="2" spans="1:2" x14ac:dyDescent="0.35">
      <c r="A2" s="10" t="s">
        <v>0</v>
      </c>
      <c r="B2" s="11" t="s">
        <v>984</v>
      </c>
    </row>
    <row r="3" spans="1:2" x14ac:dyDescent="0.35">
      <c r="A3" s="6" t="s">
        <v>1</v>
      </c>
      <c r="B3" s="7" t="s">
        <v>985</v>
      </c>
    </row>
    <row r="4" spans="1:2" x14ac:dyDescent="0.35">
      <c r="A4" s="6" t="s">
        <v>2</v>
      </c>
      <c r="B4" s="7" t="s">
        <v>986</v>
      </c>
    </row>
    <row r="5" spans="1:2" x14ac:dyDescent="0.35">
      <c r="A5" s="6" t="s">
        <v>3</v>
      </c>
      <c r="B5" s="7" t="s">
        <v>987</v>
      </c>
    </row>
    <row r="6" spans="1:2" x14ac:dyDescent="0.35">
      <c r="A6" s="6" t="s">
        <v>4</v>
      </c>
      <c r="B6" s="7" t="s">
        <v>988</v>
      </c>
    </row>
    <row r="7" spans="1:2" x14ac:dyDescent="0.35">
      <c r="A7" s="6" t="s">
        <v>5</v>
      </c>
      <c r="B7" s="7" t="s">
        <v>989</v>
      </c>
    </row>
    <row r="8" spans="1:2" x14ac:dyDescent="0.35">
      <c r="A8" s="6" t="s">
        <v>6</v>
      </c>
      <c r="B8" s="7" t="s">
        <v>990</v>
      </c>
    </row>
    <row r="9" spans="1:2" x14ac:dyDescent="0.35">
      <c r="A9" s="6" t="s">
        <v>7</v>
      </c>
      <c r="B9" s="7" t="s">
        <v>991</v>
      </c>
    </row>
    <row r="10" spans="1:2" x14ac:dyDescent="0.35">
      <c r="A10" s="6" t="s">
        <v>8</v>
      </c>
      <c r="B10" s="7" t="s">
        <v>992</v>
      </c>
    </row>
    <row r="11" spans="1:2" x14ac:dyDescent="0.35">
      <c r="A11" s="6" t="s">
        <v>9</v>
      </c>
      <c r="B11" s="7" t="s">
        <v>993</v>
      </c>
    </row>
    <row r="12" spans="1:2" x14ac:dyDescent="0.35">
      <c r="A12" s="6" t="s">
        <v>10</v>
      </c>
      <c r="B12" s="7" t="s">
        <v>994</v>
      </c>
    </row>
    <row r="13" spans="1:2" x14ac:dyDescent="0.35">
      <c r="A13" s="6" t="s">
        <v>11</v>
      </c>
      <c r="B13" s="7" t="s">
        <v>995</v>
      </c>
    </row>
    <row r="14" spans="1:2" x14ac:dyDescent="0.35">
      <c r="A14" s="6" t="s">
        <v>12</v>
      </c>
      <c r="B14" s="7" t="s">
        <v>996</v>
      </c>
    </row>
    <row r="15" spans="1:2" x14ac:dyDescent="0.35">
      <c r="A15" s="6" t="s">
        <v>13</v>
      </c>
      <c r="B15" s="7" t="s">
        <v>997</v>
      </c>
    </row>
    <row r="16" spans="1:2" x14ac:dyDescent="0.35">
      <c r="A16" s="6" t="s">
        <v>1016</v>
      </c>
      <c r="B16" s="7" t="s">
        <v>1017</v>
      </c>
    </row>
    <row r="17" spans="1:2" x14ac:dyDescent="0.35">
      <c r="A17" s="8" t="s">
        <v>14</v>
      </c>
      <c r="B17" s="7" t="s">
        <v>1000</v>
      </c>
    </row>
    <row r="18" spans="1:2" x14ac:dyDescent="0.35">
      <c r="A18" s="8" t="s">
        <v>981</v>
      </c>
      <c r="B18" s="7" t="s">
        <v>998</v>
      </c>
    </row>
    <row r="19" spans="1:2" x14ac:dyDescent="0.35">
      <c r="A19" s="8" t="s">
        <v>15</v>
      </c>
      <c r="B19" s="7" t="s">
        <v>1001</v>
      </c>
    </row>
    <row r="20" spans="1:2" x14ac:dyDescent="0.35">
      <c r="A20" s="8" t="s">
        <v>16</v>
      </c>
      <c r="B20" s="7" t="s">
        <v>999</v>
      </c>
    </row>
    <row r="21" spans="1:2" x14ac:dyDescent="0.35">
      <c r="A21" s="8" t="s">
        <v>17</v>
      </c>
      <c r="B21" s="7" t="s">
        <v>1002</v>
      </c>
    </row>
    <row r="22" spans="1:2" x14ac:dyDescent="0.35">
      <c r="A22" s="6" t="s">
        <v>18</v>
      </c>
      <c r="B22" s="7" t="s">
        <v>1003</v>
      </c>
    </row>
    <row r="23" spans="1:2" x14ac:dyDescent="0.35">
      <c r="A23" s="8" t="s">
        <v>19</v>
      </c>
      <c r="B23" s="7" t="s">
        <v>1004</v>
      </c>
    </row>
    <row r="24" spans="1:2" x14ac:dyDescent="0.35">
      <c r="A24" s="6" t="s">
        <v>20</v>
      </c>
      <c r="B24" s="7" t="s">
        <v>1005</v>
      </c>
    </row>
    <row r="25" spans="1:2" x14ac:dyDescent="0.35">
      <c r="A25" s="6" t="s">
        <v>21</v>
      </c>
      <c r="B25" s="7" t="s">
        <v>1006</v>
      </c>
    </row>
    <row r="26" spans="1:2" x14ac:dyDescent="0.35">
      <c r="A26" s="6" t="s">
        <v>22</v>
      </c>
      <c r="B26" s="7" t="s">
        <v>1008</v>
      </c>
    </row>
    <row r="27" spans="1:2" x14ac:dyDescent="0.35">
      <c r="A27" s="9" t="s">
        <v>23</v>
      </c>
      <c r="B27" s="7" t="s">
        <v>1007</v>
      </c>
    </row>
    <row r="28" spans="1:2" x14ac:dyDescent="0.35">
      <c r="A28" s="6" t="s">
        <v>24</v>
      </c>
      <c r="B28" s="7" t="s">
        <v>1009</v>
      </c>
    </row>
    <row r="29" spans="1:2" x14ac:dyDescent="0.35">
      <c r="A29" s="6" t="s">
        <v>25</v>
      </c>
      <c r="B29" s="7" t="s">
        <v>1010</v>
      </c>
    </row>
    <row r="30" spans="1:2" x14ac:dyDescent="0.35">
      <c r="A30" s="6" t="s">
        <v>26</v>
      </c>
      <c r="B30" s="7" t="s">
        <v>1012</v>
      </c>
    </row>
    <row r="31" spans="1:2" x14ac:dyDescent="0.35">
      <c r="A31" s="9" t="s">
        <v>27</v>
      </c>
      <c r="B31" s="7" t="s">
        <v>1011</v>
      </c>
    </row>
    <row r="32" spans="1:2" x14ac:dyDescent="0.35">
      <c r="A32" s="6" t="s">
        <v>28</v>
      </c>
      <c r="B32" s="7" t="s">
        <v>1013</v>
      </c>
    </row>
    <row r="33" spans="1:2" x14ac:dyDescent="0.35">
      <c r="A33" s="6" t="s">
        <v>29</v>
      </c>
      <c r="B33" s="7" t="s">
        <v>1014</v>
      </c>
    </row>
    <row r="34" spans="1:2" x14ac:dyDescent="0.35">
      <c r="A34" s="15" t="s">
        <v>30</v>
      </c>
      <c r="B34" s="16" t="s">
        <v>1015</v>
      </c>
    </row>
    <row r="35" spans="1:2" x14ac:dyDescent="0.35">
      <c r="A35" s="6" t="s">
        <v>1018</v>
      </c>
      <c r="B35" s="7" t="s">
        <v>1020</v>
      </c>
    </row>
    <row r="36" spans="1:2" ht="15" thickBot="1" x14ac:dyDescent="0.4">
      <c r="A36" s="17" t="s">
        <v>1019</v>
      </c>
      <c r="B36" s="18" t="s">
        <v>1021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f7fba94-3066-4f9e-b6b3-2937642b633c" xsi:nil="true"/>
    <lcf76f155ced4ddcb4097134ff3c332f xmlns="3db8c227-7cc4-411e-bd2d-91868851af27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9511CCFB86484CA8BB4D9F99A360CA" ma:contentTypeVersion="14" ma:contentTypeDescription="Crée un document." ma:contentTypeScope="" ma:versionID="c0dd9f80026815c93765095c12cf4476">
  <xsd:schema xmlns:xsd="http://www.w3.org/2001/XMLSchema" xmlns:xs="http://www.w3.org/2001/XMLSchema" xmlns:p="http://schemas.microsoft.com/office/2006/metadata/properties" xmlns:ns2="3db8c227-7cc4-411e-bd2d-91868851af27" xmlns:ns3="df7fba94-3066-4f9e-b6b3-2937642b633c" targetNamespace="http://schemas.microsoft.com/office/2006/metadata/properties" ma:root="true" ma:fieldsID="b34af17ca215d50562ee3c64a7f7b017" ns2:_="" ns3:_="">
    <xsd:import namespace="3db8c227-7cc4-411e-bd2d-91868851af27"/>
    <xsd:import namespace="df7fba94-3066-4f9e-b6b3-2937642b633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b8c227-7cc4-411e-bd2d-91868851af2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4" nillable="true" ma:taxonomy="true" ma:internalName="lcf76f155ced4ddcb4097134ff3c332f" ma:taxonomyFieldName="MediaServiceImageTags" ma:displayName="Balises d’images" ma:readOnly="false" ma:fieldId="{5cf76f15-5ced-4ddc-b409-7134ff3c332f}" ma:taxonomyMulti="true" ma:sspId="e708dd02-8054-4673-8035-4c80673f6f6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7fba94-3066-4f9e-b6b3-2937642b633c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ce18e303-6031-45c2-acff-df4f37b978d2}" ma:internalName="TaxCatchAll" ma:showField="CatchAllData" ma:web="df7fba94-3066-4f9e-b6b3-2937642b633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D300C3D-25B2-4746-A892-8D65969DF71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A08660D-1512-449F-9AA7-33C5D198C055}">
  <ds:schemaRefs>
    <ds:schemaRef ds:uri="http://schemas.microsoft.com/office/2006/metadata/properties"/>
    <ds:schemaRef ds:uri="http://schemas.microsoft.com/office/infopath/2007/PartnerControls"/>
    <ds:schemaRef ds:uri="df7fba94-3066-4f9e-b6b3-2937642b633c"/>
    <ds:schemaRef ds:uri="3db8c227-7cc4-411e-bd2d-91868851af27"/>
  </ds:schemaRefs>
</ds:datastoreItem>
</file>

<file path=customXml/itemProps3.xml><?xml version="1.0" encoding="utf-8"?>
<ds:datastoreItem xmlns:ds="http://schemas.openxmlformats.org/officeDocument/2006/customXml" ds:itemID="{EA431370-73B4-4425-AC9B-43E75D4E0EF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db8c227-7cc4-411e-bd2d-91868851af27"/>
    <ds:schemaRef ds:uri="df7fba94-3066-4f9e-b6b3-2937642b633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Sheet1</vt:lpstr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Youssef Ibn Seddik (Student at CentraleSupelec)</cp:lastModifiedBy>
  <dcterms:created xsi:type="dcterms:W3CDTF">2025-11-28T09:58:31Z</dcterms:created>
  <dcterms:modified xsi:type="dcterms:W3CDTF">2026-03-20T21:14:34Z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0x010100379511CCFB86484CA8BB4D9F99A360CA</vt:lpwstr>
  </property>
  <property fmtid="{D5CDD505-2E9C-101B-9397-08002B2CF9AE}" pid="3" name="MediaServiceImageTags">
    <vt:lpwstr/>
  </property>
</Properties>
</file>