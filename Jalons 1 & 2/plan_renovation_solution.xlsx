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uss\Desktop\Projet ST7\sia_efficacity_projet_st7\"/>
    </mc:Choice>
  </mc:AlternateContent>
  <xr:revisionPtr revIDLastSave="0" documentId="13_ncr:1_{8F36A43F-F624-4907-AA9B-57CD41EF91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itions" sheetId="1" r:id="rId1"/>
    <sheet name="timeline_renovations" sheetId="2" r:id="rId2"/>
    <sheet name="timeline_travaux" sheetId="3" r:id="rId3"/>
    <sheet name="stats_annees" sheetId="4" r:id="rId4"/>
    <sheet name="availability_by_categ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F2" i="5" a="1"/>
  <c r="F2" i="5" s="1"/>
  <c r="H2" i="4"/>
  <c r="G2" i="4" a="1"/>
  <c r="G2" i="4" s="1"/>
  <c r="E12" i="4"/>
  <c r="E13" i="4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11" i="4"/>
  <c r="E10" i="4"/>
  <c r="E9" i="4"/>
  <c r="E8" i="4"/>
  <c r="E7" i="4"/>
  <c r="E6" i="4"/>
  <c r="E5" i="4"/>
  <c r="E4" i="4"/>
  <c r="E3" i="4"/>
  <c r="E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<sst xmlns="http://schemas.openxmlformats.org/spreadsheetml/2006/main" count="1380" uniqueCount="302">
  <si>
    <t>building</t>
  </si>
  <si>
    <t>year</t>
  </si>
  <si>
    <t>from_state</t>
  </si>
  <si>
    <t>to_state</t>
  </si>
  <si>
    <t>works_added</t>
  </si>
  <si>
    <t>gain</t>
  </si>
  <si>
    <t>cost</t>
  </si>
  <si>
    <t>category</t>
  </si>
  <si>
    <t>abri_bouliste</t>
  </si>
  <si>
    <t>none</t>
  </si>
  <si>
    <t>abri_bouliste_simulation_1</t>
  </si>
  <si>
    <t>indoor_wall_isolation</t>
  </si>
  <si>
    <t>Sports</t>
  </si>
  <si>
    <t>abri_bouliste_simulation_2</t>
  </si>
  <si>
    <t>roof_isolation</t>
  </si>
  <si>
    <t>abri_bouliste_simulation_4</t>
  </si>
  <si>
    <t>floor_isolation</t>
  </si>
  <si>
    <t>abri_bouliste_simulation_11</t>
  </si>
  <si>
    <t>window_replacement_DG</t>
  </si>
  <si>
    <t>accueil_de_loisirs_maternel_la_varenne</t>
  </si>
  <si>
    <t>accueil_de_loisirs_maternel_la_varenne_simulation_3</t>
  </si>
  <si>
    <t>Enseignement</t>
  </si>
  <si>
    <t>accueil_de_loisirs_maternel_la_varenne_simulation_14</t>
  </si>
  <si>
    <t>indoor_wall_isolation, window_replacement_TG, floor_isolation</t>
  </si>
  <si>
    <t>association_31_rue_gambetta</t>
  </si>
  <si>
    <t>association_31_rue_gambetta_simulation_1</t>
  </si>
  <si>
    <t>Autres</t>
  </si>
  <si>
    <t>association_31_rue_gambetta_simulation_6</t>
  </si>
  <si>
    <t>window_replacement_DG, roof_isolation</t>
  </si>
  <si>
    <t>ateliers_municipaux_(ctm)</t>
  </si>
  <si>
    <t>ateliers_municipaux_(ctm)_simulation_8</t>
  </si>
  <si>
    <t>exterior_wall_isolation, roof_isolation, VMC_installation, system_installation</t>
  </si>
  <si>
    <t>Administration</t>
  </si>
  <si>
    <t>ateliers_municipaux_(ctm)_simulation_9</t>
  </si>
  <si>
    <t>base_de_canoe_kayak</t>
  </si>
  <si>
    <t>base_de_canoe_kayak_simulation_3</t>
  </si>
  <si>
    <t>indoor_wall_isolation, floor_isolation</t>
  </si>
  <si>
    <t>base_de_canoe_kayak_simulation_12</t>
  </si>
  <si>
    <t>bureaux_21_rue_des_sports</t>
  </si>
  <si>
    <t>bureaux_21_rue_des_sports_simulation_1</t>
  </si>
  <si>
    <t>bureaux_21_rue_des_sports_simulation_14</t>
  </si>
  <si>
    <t>cdj_du_champy</t>
  </si>
  <si>
    <t>cdj_du_champy_simulation_12</t>
  </si>
  <si>
    <t>floor_isolation, VMC_installation</t>
  </si>
  <si>
    <t>cdj_du_champy_simulation_8</t>
  </si>
  <si>
    <t>indoor_wall_isolation, roof_isolation</t>
  </si>
  <si>
    <t>cdj_du_pave_neuf</t>
  </si>
  <si>
    <t>cdj_du_pave_neuf_simulation_1</t>
  </si>
  <si>
    <t>cdj_du_pave_neuf_simulation_3</t>
  </si>
  <si>
    <t>cdj_du_pave_neuf_simulation_11</t>
  </si>
  <si>
    <t>centre_aquatique_les_nymphéas</t>
  </si>
  <si>
    <t>centre_aquatique_les_nymphéas_simulation_1</t>
  </si>
  <si>
    <t>centre_horticole</t>
  </si>
  <si>
    <t>centre_horticole_simulation_3</t>
  </si>
  <si>
    <t>exterior_wall_isolation</t>
  </si>
  <si>
    <t>centre_horticole_simulation_7</t>
  </si>
  <si>
    <t>centre_horticole_simulation_15</t>
  </si>
  <si>
    <t>window_replacement_TG</t>
  </si>
  <si>
    <t>cimetiere_nouveau</t>
  </si>
  <si>
    <t>cimetiere_nouveau_simulation_1</t>
  </si>
  <si>
    <t>cimetiere_nouveau_simulation_5</t>
  </si>
  <si>
    <t>VMC_installation</t>
  </si>
  <si>
    <t>cimetiere_nouveau_simulation_11</t>
  </si>
  <si>
    <t>floor_isolation, roof_isolation</t>
  </si>
  <si>
    <t>cinéma_le_bijou</t>
  </si>
  <si>
    <t>cinéma_le_bijou_simulation_6</t>
  </si>
  <si>
    <t>floor_isolation, system_installation</t>
  </si>
  <si>
    <t>cinéma_le_bijou_simulation_7</t>
  </si>
  <si>
    <t>club_ricardo_bofil</t>
  </si>
  <si>
    <t>club_ricardo_bofil_simulation_2</t>
  </si>
  <si>
    <t>conservatoire_maurice_bacquet</t>
  </si>
  <si>
    <t>conservatoire_maurice_bacquet_simulation 5</t>
  </si>
  <si>
    <t>system_installation</t>
  </si>
  <si>
    <t>conservatoire_maurice_bacquet_simulation 8</t>
  </si>
  <si>
    <t>conservatoire_maurice_bacquet_simulation 10</t>
  </si>
  <si>
    <t>creche_multi_accueil_des_farfadets</t>
  </si>
  <si>
    <t>creche_multi_accueil_des_farfadets_simulation_1</t>
  </si>
  <si>
    <t>creche_multi_accueil_des_farfadets_simulation_2</t>
  </si>
  <si>
    <t>crèche_et_halte_du_marnois</t>
  </si>
  <si>
    <t>crèche_et_halte_du_marnois_simulation_1</t>
  </si>
  <si>
    <t>crèche_et_halte_du_marnois_simulation_6</t>
  </si>
  <si>
    <t>crèche_et_halte_du_marnois_simulation_10</t>
  </si>
  <si>
    <t>window_replacement_DG, VMC_installation</t>
  </si>
  <si>
    <t>crèche_familiale_du_champy_-_relais_des_assistances_maternelles</t>
  </si>
  <si>
    <t>crèche_familiale_du_champy_-_relais_des_assistances_maternelles_simulation_4</t>
  </si>
  <si>
    <t>crèche_familiale_du_champy_-_relais_des_assistances_maternelles_simulation_3</t>
  </si>
  <si>
    <t>crèche_familiale_du_champy_-_relais_des_assistances_maternelles_simulation_6</t>
  </si>
  <si>
    <t>crèche_familiale_du_champy_-_relais_des_assistances_maternelles_simulation_7</t>
  </si>
  <si>
    <t>crèche_petit_prince</t>
  </si>
  <si>
    <t>crèche_petit_prince_simulation_3</t>
  </si>
  <si>
    <t>crèche_petit_prince_simulation_7</t>
  </si>
  <si>
    <t>exterior_wall_isolation, window_replacement_TG</t>
  </si>
  <si>
    <t>crèche_robert_debré</t>
  </si>
  <si>
    <t>crèche_robert_debré_simulation_8</t>
  </si>
  <si>
    <t>crèche_robert_debré_simulation_9</t>
  </si>
  <si>
    <t>indoor_wall_isolation, roof_isolation, VMC_installation</t>
  </si>
  <si>
    <t>crèche_robert_debré_simulation_10</t>
  </si>
  <si>
    <t>déchèterie_municipale</t>
  </si>
  <si>
    <t>déchèterie_municipale_simulation_1</t>
  </si>
  <si>
    <t>déchèterie_municipale_simulation_4</t>
  </si>
  <si>
    <t>déchèterie_municipale_simulation_11</t>
  </si>
  <si>
    <t>emaus_1_et__2</t>
  </si>
  <si>
    <t>emaus_1_et__2_simulation_1</t>
  </si>
  <si>
    <t>emaus_1_et__2_simulation_15</t>
  </si>
  <si>
    <t>window_replacement_DG, floor_isolation, roof_isolation</t>
  </si>
  <si>
    <t>espace_michel_simon</t>
  </si>
  <si>
    <t>espace_michel_simon_simulation 4</t>
  </si>
  <si>
    <t>groupe_scolaire_des_hauts_bâtons</t>
  </si>
  <si>
    <t>groupe_scolaire_des_hauts_bâtons_simulation_7</t>
  </si>
  <si>
    <t>exterior_wall_isolation, roof_isolation, system_installation</t>
  </si>
  <si>
    <t>groupe_scolaire_des_hauts_bâtons_simulation_9</t>
  </si>
  <si>
    <t>groupe_scolaire_les_coteaux</t>
  </si>
  <si>
    <t>groupe_scolaire_les_coteaux_simulation_13</t>
  </si>
  <si>
    <t>exterior_wall_isolation, roof_isolation</t>
  </si>
  <si>
    <t>groupe_scolaire_les_richardets</t>
  </si>
  <si>
    <t>groupe_scolaire_les_richardets_simulation_1</t>
  </si>
  <si>
    <t>exterior_wall_isolation, floor_isolation, roof_isolation, VMC_installation, system_installation</t>
  </si>
  <si>
    <t>groupe_scolaire_paul_serelle</t>
  </si>
  <si>
    <t>groupe_scolaire_paul_serelle_simulation_1</t>
  </si>
  <si>
    <t>exterior_wall_isolation, floor_isolation, roof_isolation</t>
  </si>
  <si>
    <t>groupe_scolaire_robert_desnos</t>
  </si>
  <si>
    <t>groupe_scolaire_robert_desnos_simulation_7</t>
  </si>
  <si>
    <t>indoor_wall_isolation, roof_isolation, system_installation</t>
  </si>
  <si>
    <t>groupe_scolaire_robert_desnos_simulation_10</t>
  </si>
  <si>
    <t>gs_alex_dumas</t>
  </si>
  <si>
    <t>gs_alex_dumas_simulation 3</t>
  </si>
  <si>
    <t>gs_alex_dumas_simulation 10</t>
  </si>
  <si>
    <t>exterior_wall_isolation, window_replacement_TG, VMC_installation</t>
  </si>
  <si>
    <t>gs_celestin_freinet</t>
  </si>
  <si>
    <t>gs_celestin_freinet_simulation 2</t>
  </si>
  <si>
    <t>gs_celestin_freinet_simulation 10</t>
  </si>
  <si>
    <t>window_replacement_DG, roof_isolation, VMC_installation</t>
  </si>
  <si>
    <t>gs_clos_arche</t>
  </si>
  <si>
    <t>gs_clos_arche_simulation 2</t>
  </si>
  <si>
    <t>gs_clos_arche_simulation 10</t>
  </si>
  <si>
    <t>window_replacement_DG, floor_isolation, VMC_installation, system_installation</t>
  </si>
  <si>
    <t>gs_clos_dambert</t>
  </si>
  <si>
    <t>gs_clos_dambert_simulation 6</t>
  </si>
  <si>
    <t>indoor_wall_isolation, VMC_installation</t>
  </si>
  <si>
    <t>gs_clos_dambert_simulation 10</t>
  </si>
  <si>
    <t>gs_george_brassens</t>
  </si>
  <si>
    <t>gs_george_brassens_simulation 1</t>
  </si>
  <si>
    <t>gs_george_brassens_simulation 8</t>
  </si>
  <si>
    <t>window_replacement_TG, floor_isolation, roof_isolation</t>
  </si>
  <si>
    <t>gs_joliot_curie</t>
  </si>
  <si>
    <t>gs_joliot_curie_simulation 8</t>
  </si>
  <si>
    <t>gs_joliot_curie_simulation 9</t>
  </si>
  <si>
    <t>gs_jules_ferry</t>
  </si>
  <si>
    <t>gs_jules_ferry_simulation 5</t>
  </si>
  <si>
    <t>gs_jules_ferry_simulation 8</t>
  </si>
  <si>
    <t>gs_jules_ferry_simulation 10</t>
  </si>
  <si>
    <t>gs_jules_verne</t>
  </si>
  <si>
    <t>gs_jules_verne_simulation 1</t>
  </si>
  <si>
    <t>gs_jules_verne_simulation 8</t>
  </si>
  <si>
    <t>window_replacement_DG, floor_isolation</t>
  </si>
  <si>
    <t>gs_jules_verne_simulation 10</t>
  </si>
  <si>
    <t>gs_la_varenne</t>
  </si>
  <si>
    <t>gs_la_varenne_simulation 5</t>
  </si>
  <si>
    <t>gs_la_varenne_simulation 7</t>
  </si>
  <si>
    <t>exterior_wall_isolation, floor_isolation</t>
  </si>
  <si>
    <t>gs_la_varenne_simulation 10</t>
  </si>
  <si>
    <t>gs_les_abeilles</t>
  </si>
  <si>
    <t>gs_les_abeilles_simulation 2</t>
  </si>
  <si>
    <t>gs_les_abeilles_simulation 10</t>
  </si>
  <si>
    <t>window_replacement_DG, roof_isolation, VMC_installation, system_installation</t>
  </si>
  <si>
    <t>gs_les_charmilles</t>
  </si>
  <si>
    <t>gs_les_charmilles_simulation 1</t>
  </si>
  <si>
    <t>gs_les_charmilles_simulation 10</t>
  </si>
  <si>
    <t>gs_les_noyers</t>
  </si>
  <si>
    <t>gs_les_noyers_simulation 2</t>
  </si>
  <si>
    <t>gs_les_noyers_simulation 8</t>
  </si>
  <si>
    <t>roof_isolation, system_installation</t>
  </si>
  <si>
    <t>gs_les_noyers_simulation 10</t>
  </si>
  <si>
    <t>gs_les_yvris</t>
  </si>
  <si>
    <t>gs_les_yvris_simulation 1</t>
  </si>
  <si>
    <t>gs_les_yvris_simulation 10</t>
  </si>
  <si>
    <t>window_replacement_TG, VMC_installation</t>
  </si>
  <si>
    <t>gs_van_gogh</t>
  </si>
  <si>
    <t>gs_van_gogh_simulation 1</t>
  </si>
  <si>
    <t>gs_van_gogh_simulation 10</t>
  </si>
  <si>
    <t>window_replacement_DG, roof_isolation, system_installation</t>
  </si>
  <si>
    <t>gymnase_champy</t>
  </si>
  <si>
    <t>gymnase_champy_simulation 8</t>
  </si>
  <si>
    <t>VMC_installation, system_installation</t>
  </si>
  <si>
    <t>gymnase_champy_simulation 10</t>
  </si>
  <si>
    <t>gymnase_de_la_butte_verte</t>
  </si>
  <si>
    <t>gymnase_de_la_butte_verte_simulation_3</t>
  </si>
  <si>
    <t>gymnase_de_la_butte_verte_simulation_8</t>
  </si>
  <si>
    <t>gymnase_du_clos_de_l'arche</t>
  </si>
  <si>
    <t>gymnase_du_clos_de_l'arche_simulation_2</t>
  </si>
  <si>
    <t>gymnase_la_varenne</t>
  </si>
  <si>
    <t>gymnase_la_varenne_simulation 5</t>
  </si>
  <si>
    <t>gymnase_la_varenne_simulation 10</t>
  </si>
  <si>
    <t>window_replacement_DG, system_installation</t>
  </si>
  <si>
    <t>gymnase_les_coteaux</t>
  </si>
  <si>
    <t>gymnase_les_coteaux_simulation_1</t>
  </si>
  <si>
    <t>gymnase_les_coteaux_simulation_9</t>
  </si>
  <si>
    <t>gymnase_les_yvris</t>
  </si>
  <si>
    <t>gymnase_les_yvris_simulation_1</t>
  </si>
  <si>
    <t>gymnase_les_yvris_simulation_7</t>
  </si>
  <si>
    <t>gymnase_les_yvris_simulation_10</t>
  </si>
  <si>
    <t>gymnase_louison_bobet</t>
  </si>
  <si>
    <t>gymnase_louison_bobet_simulation 3</t>
  </si>
  <si>
    <t>gymnase_louison_bobet_simulation 10</t>
  </si>
  <si>
    <t>hangar_bleu</t>
  </si>
  <si>
    <t>hangar_bleu_simulation_2</t>
  </si>
  <si>
    <t>hangar_bleu_simulation_3</t>
  </si>
  <si>
    <t>hangar_bleu_simulation_9</t>
  </si>
  <si>
    <t>local_associatif_pablo_picasso</t>
  </si>
  <si>
    <t>local_associatif_pablo_picasso_simulation_1</t>
  </si>
  <si>
    <t>local_associatif_pablo_picasso_simulation_7</t>
  </si>
  <si>
    <t>maison_de_la_jeunesse</t>
  </si>
  <si>
    <t>maison_de_la_jeunesse_simulation_1</t>
  </si>
  <si>
    <t>maison_de_la_jeunesse_simulation_9</t>
  </si>
  <si>
    <t>floor_isolation, roof_isolation, VMC_installation</t>
  </si>
  <si>
    <t>maison_des_services_publics_-_pimms</t>
  </si>
  <si>
    <t>maison_des_services_publics_-_pimms_simulation_1</t>
  </si>
  <si>
    <t>maison_des_services_publics_-_pimms_simulation_2</t>
  </si>
  <si>
    <t>maison_des_services_publics_-_pimms_simulation_13</t>
  </si>
  <si>
    <t>maison_des_syndicats</t>
  </si>
  <si>
    <t>maison_des_syndicats_simulation_1</t>
  </si>
  <si>
    <t>maison_des_syndicats_simulation_11</t>
  </si>
  <si>
    <t>window_replacement_TG, roof_isolation</t>
  </si>
  <si>
    <t>maison_medicale_du_champy</t>
  </si>
  <si>
    <t>maison_medicale_du_champy_simulation_8</t>
  </si>
  <si>
    <t>exterior_wall_isolation, floor_isolation, VMC_installation</t>
  </si>
  <si>
    <t>maison_medicale_du_champy_simulation_14</t>
  </si>
  <si>
    <t>medecine_du_travail</t>
  </si>
  <si>
    <t>medecine_du_travail_simulation_3</t>
  </si>
  <si>
    <t>medecine_du_travail_simulation_8</t>
  </si>
  <si>
    <t>mille_club_des_yvris</t>
  </si>
  <si>
    <t>mille_club_des_yvris_simulation_8</t>
  </si>
  <si>
    <t>mille_club_des_yvris_simulation_4</t>
  </si>
  <si>
    <t>mille_club_des_yvris_simulation_7</t>
  </si>
  <si>
    <t>mpt_des_coteaux</t>
  </si>
  <si>
    <t>mpt_des_coteaux_simulation_8</t>
  </si>
  <si>
    <t>mpt_des_coteaux_simulation_13</t>
  </si>
  <si>
    <t>mpt_du_champy</t>
  </si>
  <si>
    <t>mpt_du_champy_simulation_4</t>
  </si>
  <si>
    <t>mpt_du_champy_simulation_10</t>
  </si>
  <si>
    <t>indoor_wall_isolation, window_replacement_TG, VMC_installation</t>
  </si>
  <si>
    <t>mpt_jardin_des_sources_-_annexe_maison_pour_tous</t>
  </si>
  <si>
    <t>mpt_jardin_des_sources_-_annexe_maison_pour_tous_simulation_5</t>
  </si>
  <si>
    <t>exterior_wall_isolation, window_replacement_TG, floor_isolation</t>
  </si>
  <si>
    <t>mpt_la_varenne</t>
  </si>
  <si>
    <t>mpt_la_varenne_simulation 6</t>
  </si>
  <si>
    <t>mpt_la_varenne_simulation 10</t>
  </si>
  <si>
    <t>indoor_wall_isolation, window_replacement_TG, roof_isolation, system_installation</t>
  </si>
  <si>
    <t>mpt_les_richardets</t>
  </si>
  <si>
    <t>mpt_les_richardets_simulation_5</t>
  </si>
  <si>
    <t>mpt_les_richardets_simulation_10</t>
  </si>
  <si>
    <t>indoor_wall_isolation, window_replacement_DG, roof_isolation</t>
  </si>
  <si>
    <t>mpt_marcel_bou</t>
  </si>
  <si>
    <t>mpt_marcel_bou_simulation 1</t>
  </si>
  <si>
    <t>mpt_marcel_bou_simulation 9</t>
  </si>
  <si>
    <t>floor_isolation, roof_isolation, system_installation</t>
  </si>
  <si>
    <t>mpt_marcel_bou_simulation 10</t>
  </si>
  <si>
    <t>multi_accueil_jean_piaget</t>
  </si>
  <si>
    <t>multi_accueil_jean_piaget_simulation_6</t>
  </si>
  <si>
    <t>indoor_wall_isolation, floor_isolation, VMC_installation</t>
  </si>
  <si>
    <t>multi_accueil_jean_piaget_simulation_7</t>
  </si>
  <si>
    <t>noisy_connecte</t>
  </si>
  <si>
    <t>noisy_connecte_simulation_3</t>
  </si>
  <si>
    <t>noisy_connecte_simulation_2</t>
  </si>
  <si>
    <t>noisy_connecte_simulation_9</t>
  </si>
  <si>
    <t>salle_de_boxe</t>
  </si>
  <si>
    <t>salle_de_boxe_simulation_2</t>
  </si>
  <si>
    <t>salle_de_boxe_simulation_5</t>
  </si>
  <si>
    <t>salle_polyvalente_stephan_hessel</t>
  </si>
  <si>
    <t>salle_polyvalente_stephan_hessel_simulation_1</t>
  </si>
  <si>
    <t>salle_polyvalente_stephan_hessel_simulation_2</t>
  </si>
  <si>
    <t>salle_polyvalente_stephan_hessel_simulation_7</t>
  </si>
  <si>
    <t>stade_alain_mimoun</t>
  </si>
  <si>
    <t>stade_alain_mimoun_simulation_5</t>
  </si>
  <si>
    <t>stade_alain_mimoun_simulation_10</t>
  </si>
  <si>
    <t>stade_municipal_des_bords_de_marne</t>
  </si>
  <si>
    <t>stade_municipal_des_bords_de_marne_simulation_1</t>
  </si>
  <si>
    <t>stade_municipal_des_bords_de_marne_simulation_5</t>
  </si>
  <si>
    <t>stade_municipal_des_bords_de_marne_simulation_10</t>
  </si>
  <si>
    <t>stade_suzanne_lenglen</t>
  </si>
  <si>
    <t>stade_suzanne_lenglen_simulation_1</t>
  </si>
  <si>
    <t>stade_suzanne_lenglen_simulation_5</t>
  </si>
  <si>
    <t>stade_suzanne_lenglen_simulation_10</t>
  </si>
  <si>
    <t>tir_a_l'arc</t>
  </si>
  <si>
    <t>tir_a_l'arc_simulation_1</t>
  </si>
  <si>
    <t>tir_a_l'arc_simulation_14</t>
  </si>
  <si>
    <t>villa_cathala</t>
  </si>
  <si>
    <t>villa_cathala_simulation 4</t>
  </si>
  <si>
    <t>villa_cathala_simulation 8</t>
  </si>
  <si>
    <t>villa_cathala_simulation 10</t>
  </si>
  <si>
    <t>renovations</t>
  </si>
  <si>
    <t>gain_total</t>
  </si>
  <si>
    <t>cost_total</t>
  </si>
  <si>
    <t>renovations_done</t>
  </si>
  <si>
    <t>max_allowed</t>
  </si>
  <si>
    <t>usage_ratio</t>
  </si>
  <si>
    <t>gain_cumulé</t>
  </si>
  <si>
    <t>Consommation_init</t>
  </si>
  <si>
    <t>Nbr renov moyennes par an</t>
  </si>
  <si>
    <t>disponibilité (%)</t>
  </si>
  <si>
    <t>Disponibilité min</t>
  </si>
  <si>
    <t>Gains cumulé (en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</si>
</sst>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7"/>
      <name val="Consolas"/>
      <family val="3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Rénovations  par 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stats_annees!$B$1</c:f>
              <c:strCache>
                <c:ptCount val="1"/>
                <c:pt idx="0">
                  <c:v>renovations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stats_annees!$B$2:$B$26</c:f>
              <c:numCache>
                <c:formatCode>General</c:formatCode>
                <c:ptCount val="25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6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9</c:v>
                </c:pt>
                <c:pt idx="14">
                  <c:v>10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7</c:v>
                </c:pt>
                <c:pt idx="23">
                  <c:v>6</c:v>
                </c:pt>
                <c:pt idx="2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0-4900-B082-B13C140A5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331312"/>
        <c:axId val="1157332272"/>
      </c:barChart>
      <c:lineChart>
        <c:grouping val="standard"/>
        <c:varyColors val="0"/>
        <c:ser>
          <c:idx val="1"/>
          <c:order val="1"/>
          <c:tx>
            <c:v>Nbr de rénovations moyen par 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81-4AB7-89B6-E882280F6B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stats_annees!$H$2:$H$26</c:f>
              <c:numCache>
                <c:formatCode>General</c:formatCode>
                <c:ptCount val="25"/>
                <c:pt idx="0">
                  <c:v>6.36</c:v>
                </c:pt>
                <c:pt idx="1">
                  <c:v>6.36</c:v>
                </c:pt>
                <c:pt idx="2">
                  <c:v>6.36</c:v>
                </c:pt>
                <c:pt idx="3">
                  <c:v>6.36</c:v>
                </c:pt>
                <c:pt idx="4">
                  <c:v>6.36</c:v>
                </c:pt>
                <c:pt idx="5">
                  <c:v>6.36</c:v>
                </c:pt>
                <c:pt idx="6">
                  <c:v>6.36</c:v>
                </c:pt>
                <c:pt idx="7">
                  <c:v>6.36</c:v>
                </c:pt>
                <c:pt idx="8">
                  <c:v>6.36</c:v>
                </c:pt>
                <c:pt idx="9">
                  <c:v>6.36</c:v>
                </c:pt>
                <c:pt idx="10">
                  <c:v>6.36</c:v>
                </c:pt>
                <c:pt idx="11">
                  <c:v>6.36</c:v>
                </c:pt>
                <c:pt idx="12">
                  <c:v>6.36</c:v>
                </c:pt>
                <c:pt idx="13">
                  <c:v>6.36</c:v>
                </c:pt>
                <c:pt idx="14">
                  <c:v>6.36</c:v>
                </c:pt>
                <c:pt idx="15">
                  <c:v>6.36</c:v>
                </c:pt>
                <c:pt idx="16">
                  <c:v>6.36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6.36</c:v>
                </c:pt>
                <c:pt idx="21">
                  <c:v>6.36</c:v>
                </c:pt>
                <c:pt idx="22">
                  <c:v>6.36</c:v>
                </c:pt>
                <c:pt idx="23">
                  <c:v>6.36</c:v>
                </c:pt>
                <c:pt idx="24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81-4AB7-89B6-E882280F6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331312"/>
        <c:axId val="1157332272"/>
      </c:lineChart>
      <c:catAx>
        <c:axId val="115733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332272"/>
        <c:crosses val="autoZero"/>
        <c:auto val="1"/>
        <c:lblAlgn val="ctr"/>
        <c:lblOffset val="100"/>
        <c:noMultiLvlLbl val="0"/>
      </c:catAx>
      <c:valAx>
        <c:axId val="115733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73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Pourcentage</a:t>
            </a:r>
            <a:r>
              <a:rPr lang="fr-MA" baseline="0"/>
              <a:t> gains</a:t>
            </a:r>
            <a:endParaRPr lang="fr-MA"/>
          </a:p>
        </c:rich>
      </c:tx>
      <c:layout>
        <c:manualLayout>
          <c:xMode val="edge"/>
          <c:yMode val="edge"/>
          <c:x val="0.317520778652668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M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stats_annees!$G$1</c:f>
              <c:strCache>
                <c:ptCount val="1"/>
                <c:pt idx="0">
                  <c:v>Gains cumulé (en 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69B-4101-940A-CCE820CD3574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69B-4101-940A-CCE820CD3574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69B-4101-940A-CCE820CD3574}"/>
              </c:ext>
            </c:extLst>
          </c:dPt>
          <c:dLbls>
            <c:dLbl>
              <c:idx val="4"/>
              <c:layout>
                <c:manualLayout>
                  <c:x val="-0.11404409062376664"/>
                  <c:y val="-0.146325599546565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9B-4101-940A-CCE820CD3574}"/>
                </c:ext>
              </c:extLst>
            </c:dLbl>
            <c:dLbl>
              <c:idx val="14"/>
              <c:layout>
                <c:manualLayout>
                  <c:x val="-0.10291783787998462"/>
                  <c:y val="-0.113284335132824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9B-4101-940A-CCE820CD3574}"/>
                </c:ext>
              </c:extLst>
            </c:dLbl>
            <c:dLbl>
              <c:idx val="24"/>
              <c:layout>
                <c:manualLayout>
                  <c:x val="-7.7369136067855088E-2"/>
                  <c:y val="0.128444332735624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9B-4101-940A-CCE820CD357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xVal>
          <c:yVal>
            <c:numRef>
              <c:f>stats_annees!$G$2:$G$26</c:f>
              <c:numCache>
                <c:formatCode>General</c:formatCode>
                <c:ptCount val="25"/>
                <c:pt idx="0">
                  <c:v>5.1941519654414243</c:v>
                </c:pt>
                <c:pt idx="1">
                  <c:v>10.975768869559218</c:v>
                </c:pt>
                <c:pt idx="2">
                  <c:v>17.11857333458844</c:v>
                </c:pt>
                <c:pt idx="3">
                  <c:v>24.222110586394933</c:v>
                </c:pt>
                <c:pt idx="4">
                  <c:v>29.602204753809406</c:v>
                </c:pt>
                <c:pt idx="5">
                  <c:v>31.378416847691174</c:v>
                </c:pt>
                <c:pt idx="6">
                  <c:v>33.180330056215553</c:v>
                </c:pt>
                <c:pt idx="7">
                  <c:v>34.534175153562082</c:v>
                </c:pt>
                <c:pt idx="8">
                  <c:v>36.108326306164102</c:v>
                </c:pt>
                <c:pt idx="9">
                  <c:v>37.550507384235793</c:v>
                </c:pt>
                <c:pt idx="10">
                  <c:v>38.896429623705949</c:v>
                </c:pt>
                <c:pt idx="11">
                  <c:v>41.015517228410715</c:v>
                </c:pt>
                <c:pt idx="12">
                  <c:v>42.198416920731688</c:v>
                </c:pt>
                <c:pt idx="13">
                  <c:v>43.696962589447722</c:v>
                </c:pt>
                <c:pt idx="14">
                  <c:v>44.790308599519953</c:v>
                </c:pt>
                <c:pt idx="15">
                  <c:v>45.356590369169048</c:v>
                </c:pt>
                <c:pt idx="16">
                  <c:v>45.60745096093477</c:v>
                </c:pt>
                <c:pt idx="17">
                  <c:v>45.862373481329314</c:v>
                </c:pt>
                <c:pt idx="18">
                  <c:v>45.967396253657981</c:v>
                </c:pt>
                <c:pt idx="19">
                  <c:v>46.113609406881231</c:v>
                </c:pt>
                <c:pt idx="20">
                  <c:v>46.724297844187653</c:v>
                </c:pt>
                <c:pt idx="21">
                  <c:v>47.175682556003849</c:v>
                </c:pt>
                <c:pt idx="22">
                  <c:v>47.139209293184116</c:v>
                </c:pt>
                <c:pt idx="23">
                  <c:v>47.55915865526282</c:v>
                </c:pt>
                <c:pt idx="24">
                  <c:v>47.834454486361466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4E-4388-AA25-FCFC1FAE1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837760"/>
        <c:axId val="1158838240"/>
      </c:scatterChart>
      <c:valAx>
        <c:axId val="1158837760"/>
        <c:scaling>
          <c:orientation val="minMax"/>
          <c:max val="2051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8838240"/>
        <c:crosses val="autoZero"/>
        <c:crossBetween val="midCat"/>
      </c:valAx>
      <c:valAx>
        <c:axId val="115883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883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budget par année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stats_annees!$D$1</c:f>
              <c:strCache>
                <c:ptCount val="1"/>
                <c:pt idx="0">
                  <c:v>cost_total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stats_annees!$A$2:$A$26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stats_annees!$D$2:$D$26</c:f>
              <c:numCache>
                <c:formatCode>General</c:formatCode>
                <c:ptCount val="25"/>
                <c:pt idx="0">
                  <c:v>1998051.748586386</c:v>
                </c:pt>
                <c:pt idx="1">
                  <c:v>1998327.9923664711</c:v>
                </c:pt>
                <c:pt idx="2">
                  <c:v>1998187.723270868</c:v>
                </c:pt>
                <c:pt idx="3">
                  <c:v>1998798.4922136359</c:v>
                </c:pt>
                <c:pt idx="4">
                  <c:v>1999643.0699914419</c:v>
                </c:pt>
                <c:pt idx="5">
                  <c:v>1998163.15</c:v>
                </c:pt>
                <c:pt idx="6">
                  <c:v>1998130.343757181</c:v>
                </c:pt>
                <c:pt idx="7">
                  <c:v>1994397.645</c:v>
                </c:pt>
                <c:pt idx="8">
                  <c:v>1997482.3148123799</c:v>
                </c:pt>
                <c:pt idx="9">
                  <c:v>1997096.812531349</c:v>
                </c:pt>
                <c:pt idx="10">
                  <c:v>1994054.0405821139</c:v>
                </c:pt>
                <c:pt idx="11">
                  <c:v>1997573.847657105</c:v>
                </c:pt>
                <c:pt idx="12">
                  <c:v>1997323.5463978399</c:v>
                </c:pt>
                <c:pt idx="13">
                  <c:v>1998655.3731545701</c:v>
                </c:pt>
                <c:pt idx="14">
                  <c:v>1998311.4553570589</c:v>
                </c:pt>
                <c:pt idx="15">
                  <c:v>1977043.6665000001</c:v>
                </c:pt>
                <c:pt idx="16">
                  <c:v>1966054.3374892659</c:v>
                </c:pt>
                <c:pt idx="17">
                  <c:v>1930456.905631053</c:v>
                </c:pt>
                <c:pt idx="18">
                  <c:v>1969599.3847459999</c:v>
                </c:pt>
                <c:pt idx="19">
                  <c:v>1849514.1682884321</c:v>
                </c:pt>
                <c:pt idx="20">
                  <c:v>1828343.8095022771</c:v>
                </c:pt>
                <c:pt idx="21">
                  <c:v>1718349.2241290391</c:v>
                </c:pt>
                <c:pt idx="22">
                  <c:v>1596391.173170354</c:v>
                </c:pt>
                <c:pt idx="23">
                  <c:v>1068476.166736667</c:v>
                </c:pt>
                <c:pt idx="24">
                  <c:v>1954903.369697636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7-4863-82BE-78DF1B618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453024"/>
        <c:axId val="1159457344"/>
      </c:barChart>
      <c:catAx>
        <c:axId val="11594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9457344"/>
        <c:crosses val="autoZero"/>
        <c:auto val="1"/>
        <c:lblAlgn val="ctr"/>
        <c:lblOffset val="100"/>
        <c:noMultiLvlLbl val="0"/>
      </c:catAx>
      <c:valAx>
        <c:axId val="11594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945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Rénovations réalisées Administration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 de bâtiments rénovés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availability_by_category!$B$2:$B$26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availability_by_category!$C$2:$C$26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C-48E5-9707-E41C06E64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930912"/>
        <c:axId val="155924672"/>
      </c:barChart>
      <c:lineChart>
        <c:grouping val="standard"/>
        <c:varyColors val="0"/>
        <c:ser>
          <c:idx val="1"/>
          <c:order val="1"/>
          <c:tx>
            <c:v>20% de la catégorie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availability_by_category!$B$2:$B$26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availability_by_category!$D$2:$D$26</c:f>
              <c:numCache>
                <c:formatCode>General</c:formatCode>
                <c:ptCount val="25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BC-48E5-9707-E41C06E64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30912"/>
        <c:axId val="155924672"/>
      </c:lineChart>
      <c:catAx>
        <c:axId val="15593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24672"/>
        <c:crosses val="autoZero"/>
        <c:auto val="1"/>
        <c:lblAlgn val="ctr"/>
        <c:lblOffset val="100"/>
        <c:noMultiLvlLbl val="0"/>
      </c:catAx>
      <c:valAx>
        <c:axId val="155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3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Disponiblité Autres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v>Nombre de bâtiments rénovés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availability_by_category!$B$27:$B$51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availability_by_category!$C$27:$C$51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5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44-4A21-85DD-9142CCA15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5926112"/>
        <c:axId val="155921312"/>
      </c:barChart>
      <c:lineChart>
        <c:grouping val="standard"/>
        <c:varyColors val="0"/>
        <c:ser>
          <c:idx val="1"/>
          <c:order val="0"/>
          <c:tx>
            <c:v>20% de la catégorie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availability_by_category!$B$27:$B$51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availability_by_category!$D$27:$D$51</c:f>
              <c:numCache>
                <c:formatCode>General</c:formatCode>
                <c:ptCount val="25"/>
                <c:pt idx="0">
                  <c:v>5.2</c:v>
                </c:pt>
                <c:pt idx="1">
                  <c:v>5.2</c:v>
                </c:pt>
                <c:pt idx="2">
                  <c:v>5.2</c:v>
                </c:pt>
                <c:pt idx="3">
                  <c:v>5.2</c:v>
                </c:pt>
                <c:pt idx="4">
                  <c:v>5.2</c:v>
                </c:pt>
                <c:pt idx="5">
                  <c:v>5.2</c:v>
                </c:pt>
                <c:pt idx="6">
                  <c:v>5.2</c:v>
                </c:pt>
                <c:pt idx="7">
                  <c:v>5.2</c:v>
                </c:pt>
                <c:pt idx="8">
                  <c:v>5.2</c:v>
                </c:pt>
                <c:pt idx="9">
                  <c:v>5.2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5.2</c:v>
                </c:pt>
                <c:pt idx="15">
                  <c:v>5.2</c:v>
                </c:pt>
                <c:pt idx="16">
                  <c:v>5.2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5.2</c:v>
                </c:pt>
                <c:pt idx="22">
                  <c:v>5.2</c:v>
                </c:pt>
                <c:pt idx="23">
                  <c:v>5.2</c:v>
                </c:pt>
                <c:pt idx="24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44-4A21-85DD-9142CCA15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26112"/>
        <c:axId val="155921312"/>
      </c:lineChart>
      <c:catAx>
        <c:axId val="1559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21312"/>
        <c:crosses val="autoZero"/>
        <c:auto val="1"/>
        <c:lblAlgn val="ctr"/>
        <c:lblOffset val="100"/>
        <c:noMultiLvlLbl val="0"/>
      </c:catAx>
      <c:valAx>
        <c:axId val="1559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Rénovations</a:t>
            </a:r>
            <a:r>
              <a:rPr lang="fr-MA" baseline="0"/>
              <a:t> réalisées Enseignement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 de bâtiments rénovés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availability_by_category!$B$52:$B$76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availability_by_category!$C$52:$C$76</c:f>
              <c:numCache>
                <c:formatCode>General</c:formatCode>
                <c:ptCount val="25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F-493F-B81A-381E2D02B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66432"/>
        <c:axId val="155968832"/>
      </c:barChart>
      <c:lineChart>
        <c:grouping val="standard"/>
        <c:varyColors val="0"/>
        <c:ser>
          <c:idx val="1"/>
          <c:order val="1"/>
          <c:tx>
            <c:v>20% de la catégorie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availability_by_category!$B$52:$B$76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availability_by_category!$D$52:$D$76</c:f>
              <c:numCache>
                <c:formatCode>General</c:formatCode>
                <c:ptCount val="25"/>
                <c:pt idx="0">
                  <c:v>5.8</c:v>
                </c:pt>
                <c:pt idx="1">
                  <c:v>5.8000000000000007</c:v>
                </c:pt>
                <c:pt idx="2">
                  <c:v>5.8000000000000007</c:v>
                </c:pt>
                <c:pt idx="3">
                  <c:v>5.8000000000000007</c:v>
                </c:pt>
                <c:pt idx="4">
                  <c:v>5.8000000000000007</c:v>
                </c:pt>
                <c:pt idx="5">
                  <c:v>5.8000000000000007</c:v>
                </c:pt>
                <c:pt idx="6">
                  <c:v>5.8000000000000007</c:v>
                </c:pt>
                <c:pt idx="7">
                  <c:v>5.8000000000000007</c:v>
                </c:pt>
                <c:pt idx="8">
                  <c:v>5.8000000000000007</c:v>
                </c:pt>
                <c:pt idx="9">
                  <c:v>5.8000000000000007</c:v>
                </c:pt>
                <c:pt idx="10">
                  <c:v>5.8000000000000007</c:v>
                </c:pt>
                <c:pt idx="11">
                  <c:v>5.8000000000000007</c:v>
                </c:pt>
                <c:pt idx="12">
                  <c:v>5.8000000000000007</c:v>
                </c:pt>
                <c:pt idx="13">
                  <c:v>5.8000000000000007</c:v>
                </c:pt>
                <c:pt idx="14">
                  <c:v>5.8000000000000007</c:v>
                </c:pt>
                <c:pt idx="15">
                  <c:v>5.8000000000000007</c:v>
                </c:pt>
                <c:pt idx="16">
                  <c:v>5.8000000000000007</c:v>
                </c:pt>
                <c:pt idx="17">
                  <c:v>5.8000000000000007</c:v>
                </c:pt>
                <c:pt idx="18">
                  <c:v>5.8000000000000007</c:v>
                </c:pt>
                <c:pt idx="19">
                  <c:v>5.8000000000000007</c:v>
                </c:pt>
                <c:pt idx="20">
                  <c:v>5.8000000000000007</c:v>
                </c:pt>
                <c:pt idx="21">
                  <c:v>5.8000000000000007</c:v>
                </c:pt>
                <c:pt idx="22">
                  <c:v>5.8000000000000007</c:v>
                </c:pt>
                <c:pt idx="23">
                  <c:v>5.8000000000000007</c:v>
                </c:pt>
                <c:pt idx="24">
                  <c:v>5.8000000000000007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F-493F-B81A-381E2D02B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66432"/>
        <c:axId val="155968832"/>
      </c:lineChart>
      <c:catAx>
        <c:axId val="1559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68832"/>
        <c:crosses val="autoZero"/>
        <c:auto val="1"/>
        <c:lblAlgn val="ctr"/>
        <c:lblOffset val="100"/>
        <c:noMultiLvlLbl val="0"/>
      </c:catAx>
      <c:valAx>
        <c:axId val="1559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A"/>
              <a:t>Rénovations</a:t>
            </a:r>
            <a:r>
              <a:rPr lang="fr-MA" baseline="0"/>
              <a:t> réalisées Sports</a:t>
            </a:r>
            <a:endParaRPr lang="fr-M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 de bâtiments rénovés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availability_by_category!$B$77:$B$101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availability_by_category!$C$77:$C$101</c:f>
              <c:numCache>
                <c:formatCode>General</c:formatCode>
                <c:ptCount val="25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5-46C7-8335-F8049FE3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38112"/>
        <c:axId val="155938592"/>
      </c:barChart>
      <c:lineChart>
        <c:grouping val="standard"/>
        <c:varyColors val="0"/>
        <c:ser>
          <c:idx val="1"/>
          <c:order val="1"/>
          <c:tx>
            <c:v>20% de la catégorie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availability_by_category!$B$77:$B$101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availability_by_category!$D$77:$D$101</c:f>
              <c:numCache>
                <c:formatCode>General</c:formatCode>
                <c:ptCount val="25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5-46C7-8335-F8049FE3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38112"/>
        <c:axId val="155938592"/>
      </c:lineChart>
      <c:catAx>
        <c:axId val="15593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38592"/>
        <c:crosses val="autoZero"/>
        <c:auto val="1"/>
        <c:lblAlgn val="ctr"/>
        <c:lblOffset val="100"/>
        <c:noMultiLvlLbl val="0"/>
      </c:catAx>
      <c:valAx>
        <c:axId val="1559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93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302874</xdr:colOff>
      <xdr:row>1</xdr:row>
      <xdr:rowOff>5572</xdr:rowOff>
    </xdr:from>
    <xdr:to>
      <xdr:col>24</xdr:col>
      <xdr:colOff>606761</xdr:colOff>
      <xdr:row>15</xdr:row>
      <xdr:rowOff>167951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01EAF02-08F5-1B09-4346-9B7107045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265148</xdr:colOff>
      <xdr:row>1</xdr:row>
      <xdr:rowOff>10196</xdr:rowOff>
    </xdr:from>
    <xdr:to>
      <xdr:col>16</xdr:col>
      <xdr:colOff>579188</xdr:colOff>
      <xdr:row>15</xdr:row>
      <xdr:rowOff>123959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6728AEE-CB9E-C3EB-7E68-DC665F08F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75807</xdr:colOff>
      <xdr:row>15</xdr:row>
      <xdr:rowOff>186056</xdr:rowOff>
    </xdr:from>
    <xdr:to>
      <xdr:col>20</xdr:col>
      <xdr:colOff>390624</xdr:colOff>
      <xdr:row>30</xdr:row>
      <xdr:rowOff>113460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4F04284-2A4F-73A2-B043-F818A2872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594180</xdr:colOff>
      <xdr:row>0</xdr:row>
      <xdr:rowOff>179614</xdr:rowOff>
    </xdr:from>
    <xdr:to>
      <xdr:col>16</xdr:col>
      <xdr:colOff>40822</xdr:colOff>
      <xdr:row>16</xdr:row>
      <xdr:rowOff>19957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4ABFAFA4-8C97-C06A-5E71-F1B4A134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22678</xdr:colOff>
      <xdr:row>1</xdr:row>
      <xdr:rowOff>16328</xdr:rowOff>
    </xdr:from>
    <xdr:to>
      <xdr:col>24</xdr:col>
      <xdr:colOff>340178</xdr:colOff>
      <xdr:row>16</xdr:row>
      <xdr:rowOff>38100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61519BC-69FD-532F-DB7B-558ABF3BB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18143</xdr:colOff>
      <xdr:row>16</xdr:row>
      <xdr:rowOff>25400</xdr:rowOff>
    </xdr:from>
    <xdr:to>
      <xdr:col>16</xdr:col>
      <xdr:colOff>58964</xdr:colOff>
      <xdr:row>32</xdr:row>
      <xdr:rowOff>45357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6AEBE70-A298-EA1A-1FAD-50A560603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607784</xdr:colOff>
      <xdr:row>16</xdr:row>
      <xdr:rowOff>43542</xdr:rowOff>
    </xdr:from>
    <xdr:to>
      <xdr:col>24</xdr:col>
      <xdr:colOff>317499</xdr:colOff>
      <xdr:row>32</xdr:row>
      <xdr:rowOff>18142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D6F4AA40-919C-604F-ED99-E02F7A233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58" bestFit="1" customWidth="1"/>
    <col min="2" max="2" width="4.81640625" bestFit="1" customWidth="1"/>
    <col min="3" max="4" width="69.90625" bestFit="1" customWidth="1"/>
    <col min="5" max="5" width="78.453125" bestFit="1" customWidth="1"/>
    <col min="6" max="6" width="12.453125" bestFit="1" customWidth="1"/>
    <col min="7" max="7" width="11.81640625" bestFit="1" customWidth="1"/>
    <col min="8" max="8" width="13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2028</v>
      </c>
      <c r="C2" t="s">
        <v>9</v>
      </c>
      <c r="D2" t="s">
        <v>10</v>
      </c>
      <c r="E2" t="s">
        <v>11</v>
      </c>
      <c r="F2">
        <v>2.896469999999999</v>
      </c>
      <c r="G2">
        <v>9352.9359999999997</v>
      </c>
      <c r="H2" t="s">
        <v>12</v>
      </c>
    </row>
    <row r="3" spans="1:8" x14ac:dyDescent="0.35">
      <c r="A3" t="s">
        <v>8</v>
      </c>
      <c r="B3">
        <v>2039</v>
      </c>
      <c r="C3" t="s">
        <v>10</v>
      </c>
      <c r="D3" t="s">
        <v>13</v>
      </c>
      <c r="E3" t="s">
        <v>14</v>
      </c>
      <c r="F3">
        <v>2.807512</v>
      </c>
      <c r="G3">
        <v>27243.124</v>
      </c>
      <c r="H3" t="s">
        <v>12</v>
      </c>
    </row>
    <row r="4" spans="1:8" x14ac:dyDescent="0.35">
      <c r="A4" t="s">
        <v>8</v>
      </c>
      <c r="B4">
        <v>2040</v>
      </c>
      <c r="C4" t="s">
        <v>13</v>
      </c>
      <c r="D4" t="s">
        <v>15</v>
      </c>
      <c r="E4" t="s">
        <v>16</v>
      </c>
      <c r="F4">
        <v>0.29665700000000061</v>
      </c>
      <c r="G4">
        <v>10256.240000000011</v>
      </c>
      <c r="H4" t="s">
        <v>12</v>
      </c>
    </row>
    <row r="5" spans="1:8" x14ac:dyDescent="0.35">
      <c r="A5" t="s">
        <v>8</v>
      </c>
      <c r="B5">
        <v>2044</v>
      </c>
      <c r="C5" t="s">
        <v>15</v>
      </c>
      <c r="D5" t="s">
        <v>17</v>
      </c>
      <c r="E5" t="s">
        <v>18</v>
      </c>
      <c r="F5">
        <v>8.6743999999999488E-2</v>
      </c>
      <c r="G5">
        <v>15241.82</v>
      </c>
      <c r="H5" t="s">
        <v>12</v>
      </c>
    </row>
    <row r="6" spans="1:8" x14ac:dyDescent="0.35">
      <c r="A6" t="s">
        <v>19</v>
      </c>
      <c r="B6">
        <v>2043</v>
      </c>
      <c r="C6" t="s">
        <v>9</v>
      </c>
      <c r="D6" t="s">
        <v>20</v>
      </c>
      <c r="E6" t="s">
        <v>14</v>
      </c>
      <c r="F6">
        <v>1.737361216144141</v>
      </c>
      <c r="G6">
        <v>77747.479644143328</v>
      </c>
      <c r="H6" t="s">
        <v>21</v>
      </c>
    </row>
    <row r="7" spans="1:8" x14ac:dyDescent="0.35">
      <c r="A7" t="s">
        <v>19</v>
      </c>
      <c r="B7">
        <v>2050</v>
      </c>
      <c r="C7" t="s">
        <v>20</v>
      </c>
      <c r="D7" t="s">
        <v>22</v>
      </c>
      <c r="E7" t="s">
        <v>23</v>
      </c>
      <c r="F7">
        <v>1.5824158645602571</v>
      </c>
      <c r="G7">
        <v>163720.42596679099</v>
      </c>
      <c r="H7" t="s">
        <v>21</v>
      </c>
    </row>
    <row r="8" spans="1:8" x14ac:dyDescent="0.35">
      <c r="A8" t="s">
        <v>24</v>
      </c>
      <c r="B8">
        <v>2032</v>
      </c>
      <c r="C8" t="s">
        <v>9</v>
      </c>
      <c r="D8" t="s">
        <v>25</v>
      </c>
      <c r="E8" t="s">
        <v>11</v>
      </c>
      <c r="F8">
        <v>4.2973350000000003</v>
      </c>
      <c r="G8">
        <v>28323.4</v>
      </c>
      <c r="H8" t="s">
        <v>26</v>
      </c>
    </row>
    <row r="9" spans="1:8" x14ac:dyDescent="0.35">
      <c r="A9" t="s">
        <v>24</v>
      </c>
      <c r="B9">
        <v>2047</v>
      </c>
      <c r="C9" t="s">
        <v>25</v>
      </c>
      <c r="D9" t="s">
        <v>27</v>
      </c>
      <c r="E9" t="s">
        <v>28</v>
      </c>
      <c r="F9">
        <v>3.0283370000000001</v>
      </c>
      <c r="G9">
        <v>138728.1</v>
      </c>
      <c r="H9" t="s">
        <v>26</v>
      </c>
    </row>
    <row r="10" spans="1:8" x14ac:dyDescent="0.35">
      <c r="A10" t="s">
        <v>29</v>
      </c>
      <c r="B10">
        <v>2026</v>
      </c>
      <c r="C10" t="s">
        <v>9</v>
      </c>
      <c r="D10" t="s">
        <v>30</v>
      </c>
      <c r="E10" t="s">
        <v>31</v>
      </c>
      <c r="F10">
        <v>662.74619100095333</v>
      </c>
      <c r="G10">
        <v>1635030.88</v>
      </c>
      <c r="H10" t="s">
        <v>32</v>
      </c>
    </row>
    <row r="11" spans="1:8" x14ac:dyDescent="0.35">
      <c r="A11" t="s">
        <v>29</v>
      </c>
      <c r="B11">
        <v>2043</v>
      </c>
      <c r="C11" t="s">
        <v>30</v>
      </c>
      <c r="D11" t="s">
        <v>33</v>
      </c>
      <c r="E11" t="s">
        <v>18</v>
      </c>
      <c r="F11">
        <v>13.138072567843439</v>
      </c>
      <c r="G11">
        <v>360526.58000000007</v>
      </c>
      <c r="H11" t="s">
        <v>32</v>
      </c>
    </row>
    <row r="12" spans="1:8" x14ac:dyDescent="0.35">
      <c r="A12" t="s">
        <v>34</v>
      </c>
      <c r="B12">
        <v>2028</v>
      </c>
      <c r="C12" t="s">
        <v>9</v>
      </c>
      <c r="D12" t="s">
        <v>35</v>
      </c>
      <c r="E12" t="s">
        <v>36</v>
      </c>
      <c r="F12">
        <v>10.549939999999999</v>
      </c>
      <c r="G12">
        <v>12838.63</v>
      </c>
      <c r="H12" t="s">
        <v>12</v>
      </c>
    </row>
    <row r="13" spans="1:8" x14ac:dyDescent="0.35">
      <c r="A13" t="s">
        <v>34</v>
      </c>
      <c r="B13">
        <v>2031</v>
      </c>
      <c r="C13" t="s">
        <v>35</v>
      </c>
      <c r="D13" t="s">
        <v>37</v>
      </c>
      <c r="E13" t="s">
        <v>14</v>
      </c>
      <c r="F13">
        <v>3.0657369999999999</v>
      </c>
      <c r="G13">
        <v>15193.07</v>
      </c>
      <c r="H13" t="s">
        <v>12</v>
      </c>
    </row>
    <row r="14" spans="1:8" x14ac:dyDescent="0.35">
      <c r="A14" t="s">
        <v>38</v>
      </c>
      <c r="B14">
        <v>2032</v>
      </c>
      <c r="C14" t="s">
        <v>9</v>
      </c>
      <c r="D14" t="s">
        <v>39</v>
      </c>
      <c r="E14" t="s">
        <v>11</v>
      </c>
      <c r="F14">
        <v>1.354255717228706</v>
      </c>
      <c r="G14">
        <v>6953.9429554892286</v>
      </c>
      <c r="H14" t="s">
        <v>26</v>
      </c>
    </row>
    <row r="15" spans="1:8" x14ac:dyDescent="0.35">
      <c r="A15" t="s">
        <v>38</v>
      </c>
      <c r="B15">
        <v>2050</v>
      </c>
      <c r="C15" t="s">
        <v>39</v>
      </c>
      <c r="D15" t="s">
        <v>40</v>
      </c>
      <c r="E15" t="s">
        <v>28</v>
      </c>
      <c r="F15">
        <v>1.5061945865572299</v>
      </c>
      <c r="G15">
        <v>36542.594047555423</v>
      </c>
      <c r="H15" t="s">
        <v>26</v>
      </c>
    </row>
    <row r="16" spans="1:8" x14ac:dyDescent="0.35">
      <c r="A16" t="s">
        <v>41</v>
      </c>
      <c r="B16">
        <v>2038</v>
      </c>
      <c r="C16" t="s">
        <v>9</v>
      </c>
      <c r="D16" t="s">
        <v>42</v>
      </c>
      <c r="E16" t="s">
        <v>43</v>
      </c>
      <c r="F16">
        <v>8.7319300304899485</v>
      </c>
      <c r="G16">
        <v>74831.110999529876</v>
      </c>
      <c r="H16" t="s">
        <v>26</v>
      </c>
    </row>
    <row r="17" spans="1:8" x14ac:dyDescent="0.35">
      <c r="A17" t="s">
        <v>41</v>
      </c>
      <c r="B17">
        <v>2039</v>
      </c>
      <c r="C17" t="s">
        <v>42</v>
      </c>
      <c r="D17" t="s">
        <v>44</v>
      </c>
      <c r="E17" t="s">
        <v>45</v>
      </c>
      <c r="F17">
        <v>11.822330651078561</v>
      </c>
      <c r="G17">
        <v>91739.543254106029</v>
      </c>
      <c r="H17" t="s">
        <v>26</v>
      </c>
    </row>
    <row r="18" spans="1:8" x14ac:dyDescent="0.35">
      <c r="A18" t="s">
        <v>46</v>
      </c>
      <c r="B18">
        <v>2029</v>
      </c>
      <c r="C18" t="s">
        <v>9</v>
      </c>
      <c r="D18" t="s">
        <v>47</v>
      </c>
      <c r="E18" t="s">
        <v>11</v>
      </c>
      <c r="F18">
        <v>9.0161418532178637</v>
      </c>
      <c r="G18">
        <v>26123.489479635879</v>
      </c>
      <c r="H18" t="s">
        <v>26</v>
      </c>
    </row>
    <row r="19" spans="1:8" x14ac:dyDescent="0.35">
      <c r="A19" t="s">
        <v>46</v>
      </c>
      <c r="B19">
        <v>2040</v>
      </c>
      <c r="C19" t="s">
        <v>47</v>
      </c>
      <c r="D19" t="s">
        <v>48</v>
      </c>
      <c r="E19" t="s">
        <v>14</v>
      </c>
      <c r="F19">
        <v>3.545303145349497</v>
      </c>
      <c r="G19">
        <v>38704.768869205851</v>
      </c>
      <c r="H19" t="s">
        <v>26</v>
      </c>
    </row>
    <row r="20" spans="1:8" x14ac:dyDescent="0.35">
      <c r="A20" t="s">
        <v>46</v>
      </c>
      <c r="B20">
        <v>2049</v>
      </c>
      <c r="C20" t="s">
        <v>48</v>
      </c>
      <c r="D20" t="s">
        <v>49</v>
      </c>
      <c r="E20" t="s">
        <v>43</v>
      </c>
      <c r="F20">
        <v>4.6318657097120592</v>
      </c>
      <c r="G20">
        <v>91011.902598572968</v>
      </c>
      <c r="H20" t="s">
        <v>26</v>
      </c>
    </row>
    <row r="21" spans="1:8" x14ac:dyDescent="0.35">
      <c r="A21" t="s">
        <v>50</v>
      </c>
      <c r="B21">
        <v>2032</v>
      </c>
      <c r="C21" t="s">
        <v>9</v>
      </c>
      <c r="D21" t="s">
        <v>51</v>
      </c>
      <c r="E21" t="s">
        <v>16</v>
      </c>
      <c r="F21">
        <v>63.596638105635982</v>
      </c>
      <c r="G21">
        <v>358316.06430169212</v>
      </c>
      <c r="H21" t="s">
        <v>12</v>
      </c>
    </row>
    <row r="22" spans="1:8" x14ac:dyDescent="0.35">
      <c r="A22" t="s">
        <v>52</v>
      </c>
      <c r="B22">
        <v>2040</v>
      </c>
      <c r="C22" t="s">
        <v>9</v>
      </c>
      <c r="D22" t="s">
        <v>53</v>
      </c>
      <c r="E22" t="s">
        <v>54</v>
      </c>
      <c r="F22">
        <v>5.10568761640247</v>
      </c>
      <c r="G22">
        <v>76646.895491234856</v>
      </c>
      <c r="H22" t="s">
        <v>32</v>
      </c>
    </row>
    <row r="23" spans="1:8" x14ac:dyDescent="0.35">
      <c r="A23" t="s">
        <v>52</v>
      </c>
      <c r="B23">
        <v>2047</v>
      </c>
      <c r="C23" t="s">
        <v>53</v>
      </c>
      <c r="D23" t="s">
        <v>55</v>
      </c>
      <c r="E23" t="s">
        <v>14</v>
      </c>
      <c r="F23">
        <v>1.462280986213123</v>
      </c>
      <c r="G23">
        <v>43254.39062903935</v>
      </c>
      <c r="H23" t="s">
        <v>32</v>
      </c>
    </row>
    <row r="24" spans="1:8" x14ac:dyDescent="0.35">
      <c r="A24" t="s">
        <v>52</v>
      </c>
      <c r="B24">
        <v>2048</v>
      </c>
      <c r="C24" t="s">
        <v>55</v>
      </c>
      <c r="D24" t="s">
        <v>56</v>
      </c>
      <c r="E24" t="s">
        <v>57</v>
      </c>
      <c r="F24">
        <v>0.73115156282085625</v>
      </c>
      <c r="G24">
        <v>63872.412909362392</v>
      </c>
      <c r="H24" t="s">
        <v>32</v>
      </c>
    </row>
    <row r="25" spans="1:8" x14ac:dyDescent="0.35">
      <c r="A25" t="s">
        <v>58</v>
      </c>
      <c r="B25">
        <v>2026</v>
      </c>
      <c r="C25" t="s">
        <v>9</v>
      </c>
      <c r="D25" t="s">
        <v>59</v>
      </c>
      <c r="E25" t="s">
        <v>11</v>
      </c>
      <c r="F25">
        <v>2.1865290942851998</v>
      </c>
      <c r="G25">
        <v>7940.6048139984969</v>
      </c>
      <c r="H25" t="s">
        <v>26</v>
      </c>
    </row>
    <row r="26" spans="1:8" x14ac:dyDescent="0.35">
      <c r="A26" t="s">
        <v>58</v>
      </c>
      <c r="B26">
        <v>2035</v>
      </c>
      <c r="C26" t="s">
        <v>59</v>
      </c>
      <c r="D26" t="s">
        <v>60</v>
      </c>
      <c r="E26" t="s">
        <v>61</v>
      </c>
      <c r="F26">
        <v>0.95655345903142397</v>
      </c>
      <c r="G26">
        <v>9206.9625313485449</v>
      </c>
      <c r="H26" t="s">
        <v>26</v>
      </c>
    </row>
    <row r="27" spans="1:8" x14ac:dyDescent="0.35">
      <c r="A27" t="s">
        <v>58</v>
      </c>
      <c r="B27">
        <v>2038</v>
      </c>
      <c r="C27" t="s">
        <v>60</v>
      </c>
      <c r="D27" t="s">
        <v>62</v>
      </c>
      <c r="E27" t="s">
        <v>63</v>
      </c>
      <c r="F27">
        <v>3.5756221876943308</v>
      </c>
      <c r="G27">
        <v>22441.971170162062</v>
      </c>
      <c r="H27" t="s">
        <v>26</v>
      </c>
    </row>
    <row r="28" spans="1:8" x14ac:dyDescent="0.35">
      <c r="A28" t="s">
        <v>64</v>
      </c>
      <c r="B28">
        <v>2028</v>
      </c>
      <c r="C28" t="s">
        <v>9</v>
      </c>
      <c r="D28" t="s">
        <v>65</v>
      </c>
      <c r="E28" t="s">
        <v>66</v>
      </c>
      <c r="F28">
        <v>194.51479701168859</v>
      </c>
      <c r="G28">
        <v>164939.57</v>
      </c>
      <c r="H28" t="s">
        <v>26</v>
      </c>
    </row>
    <row r="29" spans="1:8" x14ac:dyDescent="0.35">
      <c r="A29" t="s">
        <v>64</v>
      </c>
      <c r="B29">
        <v>2046</v>
      </c>
      <c r="C29" t="s">
        <v>65</v>
      </c>
      <c r="D29" t="s">
        <v>67</v>
      </c>
      <c r="E29" t="s">
        <v>57</v>
      </c>
      <c r="F29">
        <v>1.025340261888118</v>
      </c>
      <c r="G29">
        <v>70142.25999999998</v>
      </c>
      <c r="H29" t="s">
        <v>26</v>
      </c>
    </row>
    <row r="30" spans="1:8" x14ac:dyDescent="0.35">
      <c r="A30" t="s">
        <v>68</v>
      </c>
      <c r="B30">
        <v>2042</v>
      </c>
      <c r="C30" t="s">
        <v>9</v>
      </c>
      <c r="D30" t="s">
        <v>69</v>
      </c>
      <c r="E30" t="s">
        <v>36</v>
      </c>
      <c r="F30">
        <v>3.2846222994018528</v>
      </c>
      <c r="G30">
        <v>169732.86386919409</v>
      </c>
      <c r="H30" t="s">
        <v>26</v>
      </c>
    </row>
    <row r="31" spans="1:8" x14ac:dyDescent="0.35">
      <c r="A31" t="s">
        <v>70</v>
      </c>
      <c r="B31">
        <v>2027</v>
      </c>
      <c r="C31" t="s">
        <v>9</v>
      </c>
      <c r="D31" t="s">
        <v>71</v>
      </c>
      <c r="E31" t="s">
        <v>72</v>
      </c>
      <c r="F31">
        <v>17.081219285695621</v>
      </c>
      <c r="G31">
        <v>28304.6</v>
      </c>
      <c r="H31" t="s">
        <v>26</v>
      </c>
    </row>
    <row r="32" spans="1:8" x14ac:dyDescent="0.35">
      <c r="A32" t="s">
        <v>70</v>
      </c>
      <c r="B32">
        <v>2034</v>
      </c>
      <c r="C32" t="s">
        <v>71</v>
      </c>
      <c r="D32" t="s">
        <v>73</v>
      </c>
      <c r="E32" t="s">
        <v>36</v>
      </c>
      <c r="F32">
        <v>8.4016283734344803</v>
      </c>
      <c r="G32">
        <v>88764.93</v>
      </c>
      <c r="H32" t="s">
        <v>26</v>
      </c>
    </row>
    <row r="33" spans="1:8" x14ac:dyDescent="0.35">
      <c r="A33" t="s">
        <v>70</v>
      </c>
      <c r="B33">
        <v>2049</v>
      </c>
      <c r="C33" t="s">
        <v>73</v>
      </c>
      <c r="D33" t="s">
        <v>74</v>
      </c>
      <c r="E33" t="s">
        <v>61</v>
      </c>
      <c r="F33">
        <v>11.907217237282939</v>
      </c>
      <c r="G33">
        <v>300366.61</v>
      </c>
      <c r="H33" t="s">
        <v>26</v>
      </c>
    </row>
    <row r="34" spans="1:8" x14ac:dyDescent="0.35">
      <c r="A34" t="s">
        <v>75</v>
      </c>
      <c r="B34">
        <v>2045</v>
      </c>
      <c r="C34" t="s">
        <v>9</v>
      </c>
      <c r="D34" t="s">
        <v>76</v>
      </c>
      <c r="E34" t="s">
        <v>11</v>
      </c>
      <c r="F34">
        <v>1.134320000000002</v>
      </c>
      <c r="G34">
        <v>17569.169999999998</v>
      </c>
      <c r="H34" t="s">
        <v>21</v>
      </c>
    </row>
    <row r="35" spans="1:8" x14ac:dyDescent="0.35">
      <c r="A35" t="s">
        <v>75</v>
      </c>
      <c r="B35">
        <v>2048</v>
      </c>
      <c r="C35" t="s">
        <v>76</v>
      </c>
      <c r="D35" t="s">
        <v>77</v>
      </c>
      <c r="E35" t="s">
        <v>16</v>
      </c>
      <c r="F35">
        <v>2.0619299999999972</v>
      </c>
      <c r="G35">
        <v>78647.19</v>
      </c>
      <c r="H35" t="s">
        <v>21</v>
      </c>
    </row>
    <row r="36" spans="1:8" x14ac:dyDescent="0.35">
      <c r="A36" t="s">
        <v>78</v>
      </c>
      <c r="B36">
        <v>2026</v>
      </c>
      <c r="C36" t="s">
        <v>9</v>
      </c>
      <c r="D36" t="s">
        <v>79</v>
      </c>
      <c r="E36" t="s">
        <v>11</v>
      </c>
      <c r="F36">
        <v>23.230140000000009</v>
      </c>
      <c r="G36">
        <v>53206.98</v>
      </c>
      <c r="H36" t="s">
        <v>21</v>
      </c>
    </row>
    <row r="37" spans="1:8" x14ac:dyDescent="0.35">
      <c r="A37" t="s">
        <v>78</v>
      </c>
      <c r="B37">
        <v>2039</v>
      </c>
      <c r="C37" t="s">
        <v>79</v>
      </c>
      <c r="D37" t="s">
        <v>80</v>
      </c>
      <c r="E37" t="s">
        <v>14</v>
      </c>
      <c r="F37">
        <v>42.778629999999993</v>
      </c>
      <c r="G37">
        <v>259016.22</v>
      </c>
      <c r="H37" t="s">
        <v>21</v>
      </c>
    </row>
    <row r="38" spans="1:8" x14ac:dyDescent="0.35">
      <c r="A38" t="s">
        <v>78</v>
      </c>
      <c r="B38">
        <v>2050</v>
      </c>
      <c r="C38" t="s">
        <v>80</v>
      </c>
      <c r="D38" t="s">
        <v>81</v>
      </c>
      <c r="E38" t="s">
        <v>82</v>
      </c>
      <c r="F38">
        <v>17.47202999999999</v>
      </c>
      <c r="G38">
        <v>409172.99999999988</v>
      </c>
      <c r="H38" t="s">
        <v>21</v>
      </c>
    </row>
    <row r="39" spans="1:8" x14ac:dyDescent="0.35">
      <c r="A39" t="s">
        <v>83</v>
      </c>
      <c r="B39">
        <v>2027</v>
      </c>
      <c r="C39" t="s">
        <v>9</v>
      </c>
      <c r="D39" t="s">
        <v>84</v>
      </c>
      <c r="E39" t="s">
        <v>61</v>
      </c>
      <c r="F39">
        <v>13.59935784782127</v>
      </c>
      <c r="G39">
        <v>44686.019233865438</v>
      </c>
      <c r="H39" t="s">
        <v>21</v>
      </c>
    </row>
    <row r="40" spans="1:8" x14ac:dyDescent="0.35">
      <c r="A40" t="s">
        <v>83</v>
      </c>
      <c r="B40">
        <v>2028</v>
      </c>
      <c r="C40" t="s">
        <v>84</v>
      </c>
      <c r="D40" t="s">
        <v>85</v>
      </c>
      <c r="E40" t="s">
        <v>16</v>
      </c>
      <c r="F40">
        <v>9.2552720933424908</v>
      </c>
      <c r="G40">
        <v>33100.75498804848</v>
      </c>
      <c r="H40" t="s">
        <v>21</v>
      </c>
    </row>
    <row r="41" spans="1:8" x14ac:dyDescent="0.35">
      <c r="A41" t="s">
        <v>83</v>
      </c>
      <c r="B41">
        <v>2037</v>
      </c>
      <c r="C41" t="s">
        <v>85</v>
      </c>
      <c r="D41" t="s">
        <v>86</v>
      </c>
      <c r="E41" t="s">
        <v>11</v>
      </c>
      <c r="F41">
        <v>2.10989842878362</v>
      </c>
      <c r="G41">
        <v>8284.2257780860818</v>
      </c>
      <c r="H41" t="s">
        <v>21</v>
      </c>
    </row>
    <row r="42" spans="1:8" x14ac:dyDescent="0.35">
      <c r="A42" t="s">
        <v>83</v>
      </c>
      <c r="B42">
        <v>2040</v>
      </c>
      <c r="C42" t="s">
        <v>86</v>
      </c>
      <c r="D42" t="s">
        <v>87</v>
      </c>
      <c r="E42" t="s">
        <v>18</v>
      </c>
      <c r="F42">
        <v>3.3721659576688299</v>
      </c>
      <c r="G42">
        <v>49631</v>
      </c>
      <c r="H42" t="s">
        <v>21</v>
      </c>
    </row>
    <row r="43" spans="1:8" x14ac:dyDescent="0.35">
      <c r="A43" t="s">
        <v>88</v>
      </c>
      <c r="B43">
        <v>2029</v>
      </c>
      <c r="C43" t="s">
        <v>9</v>
      </c>
      <c r="D43" t="s">
        <v>89</v>
      </c>
      <c r="E43" t="s">
        <v>72</v>
      </c>
      <c r="F43">
        <v>27.444479999999999</v>
      </c>
      <c r="G43">
        <v>11056.420733999999</v>
      </c>
      <c r="H43" t="s">
        <v>21</v>
      </c>
    </row>
    <row r="44" spans="1:8" x14ac:dyDescent="0.35">
      <c r="A44" t="s">
        <v>88</v>
      </c>
      <c r="B44">
        <v>2044</v>
      </c>
      <c r="C44" t="s">
        <v>89</v>
      </c>
      <c r="D44" t="s">
        <v>90</v>
      </c>
      <c r="E44" t="s">
        <v>91</v>
      </c>
      <c r="F44">
        <v>4.1056699999999999</v>
      </c>
      <c r="G44">
        <v>443046.57926600002</v>
      </c>
      <c r="H44" t="s">
        <v>21</v>
      </c>
    </row>
    <row r="45" spans="1:8" x14ac:dyDescent="0.35">
      <c r="A45" t="s">
        <v>92</v>
      </c>
      <c r="B45">
        <v>2026</v>
      </c>
      <c r="C45" t="s">
        <v>9</v>
      </c>
      <c r="D45" t="s">
        <v>93</v>
      </c>
      <c r="E45" t="s">
        <v>72</v>
      </c>
      <c r="F45">
        <v>64.610087354885991</v>
      </c>
      <c r="G45">
        <v>9273.1737723880597</v>
      </c>
      <c r="H45" t="s">
        <v>21</v>
      </c>
    </row>
    <row r="46" spans="1:8" x14ac:dyDescent="0.35">
      <c r="A46" t="s">
        <v>92</v>
      </c>
      <c r="B46">
        <v>2048</v>
      </c>
      <c r="C46" t="s">
        <v>93</v>
      </c>
      <c r="D46" t="s">
        <v>94</v>
      </c>
      <c r="E46" t="s">
        <v>95</v>
      </c>
      <c r="F46">
        <v>-51.920088032505703</v>
      </c>
      <c r="G46">
        <v>209457.53622761191</v>
      </c>
      <c r="H46" t="s">
        <v>21</v>
      </c>
    </row>
    <row r="47" spans="1:8" x14ac:dyDescent="0.35">
      <c r="A47" t="s">
        <v>92</v>
      </c>
      <c r="B47">
        <v>2049</v>
      </c>
      <c r="C47" t="s">
        <v>94</v>
      </c>
      <c r="D47" t="s">
        <v>96</v>
      </c>
      <c r="E47" t="s">
        <v>18</v>
      </c>
      <c r="F47">
        <v>52.69522126425997</v>
      </c>
      <c r="G47">
        <v>282935.09999999998</v>
      </c>
      <c r="H47" t="s">
        <v>21</v>
      </c>
    </row>
    <row r="48" spans="1:8" x14ac:dyDescent="0.35">
      <c r="A48" t="s">
        <v>97</v>
      </c>
      <c r="B48">
        <v>2028</v>
      </c>
      <c r="C48" t="s">
        <v>9</v>
      </c>
      <c r="D48" t="s">
        <v>98</v>
      </c>
      <c r="E48" t="s">
        <v>11</v>
      </c>
      <c r="F48">
        <v>1.9922955597117531</v>
      </c>
      <c r="G48">
        <v>6735.6568326403212</v>
      </c>
      <c r="H48" t="s">
        <v>32</v>
      </c>
    </row>
    <row r="49" spans="1:8" x14ac:dyDescent="0.35">
      <c r="A49" t="s">
        <v>97</v>
      </c>
      <c r="B49">
        <v>2034</v>
      </c>
      <c r="C49" t="s">
        <v>98</v>
      </c>
      <c r="D49" t="s">
        <v>99</v>
      </c>
      <c r="E49" t="s">
        <v>63</v>
      </c>
      <c r="F49">
        <v>1.7619808165998789</v>
      </c>
      <c r="G49">
        <v>15140.46381238008</v>
      </c>
      <c r="H49" t="s">
        <v>32</v>
      </c>
    </row>
    <row r="50" spans="1:8" x14ac:dyDescent="0.35">
      <c r="A50" t="s">
        <v>97</v>
      </c>
      <c r="B50">
        <v>2045</v>
      </c>
      <c r="C50" t="s">
        <v>99</v>
      </c>
      <c r="D50" t="s">
        <v>100</v>
      </c>
      <c r="E50" t="s">
        <v>61</v>
      </c>
      <c r="F50">
        <v>2.4817458827388169E-2</v>
      </c>
      <c r="G50">
        <v>7660.8158777170966</v>
      </c>
      <c r="H50" t="s">
        <v>32</v>
      </c>
    </row>
    <row r="51" spans="1:8" x14ac:dyDescent="0.35">
      <c r="A51" t="s">
        <v>101</v>
      </c>
      <c r="B51">
        <v>2036</v>
      </c>
      <c r="C51" t="s">
        <v>9</v>
      </c>
      <c r="D51" t="s">
        <v>102</v>
      </c>
      <c r="E51" t="s">
        <v>11</v>
      </c>
      <c r="F51">
        <v>7.8305077044214677</v>
      </c>
      <c r="G51">
        <v>29519.25547373802</v>
      </c>
      <c r="H51" t="s">
        <v>26</v>
      </c>
    </row>
    <row r="52" spans="1:8" x14ac:dyDescent="0.35">
      <c r="A52" t="s">
        <v>101</v>
      </c>
      <c r="B52">
        <v>2050</v>
      </c>
      <c r="C52" t="s">
        <v>102</v>
      </c>
      <c r="D52" t="s">
        <v>103</v>
      </c>
      <c r="E52" t="s">
        <v>104</v>
      </c>
      <c r="F52">
        <v>7.4068727749157226</v>
      </c>
      <c r="G52">
        <v>199575.06243967259</v>
      </c>
      <c r="H52" t="s">
        <v>26</v>
      </c>
    </row>
    <row r="53" spans="1:8" x14ac:dyDescent="0.35">
      <c r="A53" t="s">
        <v>105</v>
      </c>
      <c r="B53">
        <v>2037</v>
      </c>
      <c r="C53" t="s">
        <v>9</v>
      </c>
      <c r="D53" t="s">
        <v>106</v>
      </c>
      <c r="E53" t="s">
        <v>18</v>
      </c>
      <c r="F53">
        <v>356.1949078886289</v>
      </c>
      <c r="G53">
        <v>1734957.675</v>
      </c>
      <c r="H53" t="s">
        <v>26</v>
      </c>
    </row>
    <row r="54" spans="1:8" x14ac:dyDescent="0.35">
      <c r="A54" t="s">
        <v>107</v>
      </c>
      <c r="B54">
        <v>2030</v>
      </c>
      <c r="C54" t="s">
        <v>9</v>
      </c>
      <c r="D54" t="s">
        <v>108</v>
      </c>
      <c r="E54" t="s">
        <v>109</v>
      </c>
      <c r="F54">
        <v>243.02685</v>
      </c>
      <c r="G54">
        <v>573223.78451999999</v>
      </c>
      <c r="H54" t="s">
        <v>21</v>
      </c>
    </row>
    <row r="55" spans="1:8" x14ac:dyDescent="0.35">
      <c r="A55" t="s">
        <v>107</v>
      </c>
      <c r="B55">
        <v>2044</v>
      </c>
      <c r="C55" t="s">
        <v>108</v>
      </c>
      <c r="D55" t="s">
        <v>110</v>
      </c>
      <c r="E55" t="s">
        <v>82</v>
      </c>
      <c r="F55">
        <v>5.8000000001356966E-4</v>
      </c>
      <c r="G55">
        <v>866719.68547999999</v>
      </c>
      <c r="H55" t="s">
        <v>21</v>
      </c>
    </row>
    <row r="56" spans="1:8" x14ac:dyDescent="0.35">
      <c r="A56" t="s">
        <v>111</v>
      </c>
      <c r="B56">
        <v>2027</v>
      </c>
      <c r="C56" t="s">
        <v>9</v>
      </c>
      <c r="D56" t="s">
        <v>112</v>
      </c>
      <c r="E56" t="s">
        <v>113</v>
      </c>
      <c r="F56">
        <v>361.21949999999998</v>
      </c>
      <c r="G56">
        <v>649628.80000000005</v>
      </c>
      <c r="H56" t="s">
        <v>21</v>
      </c>
    </row>
    <row r="57" spans="1:8" x14ac:dyDescent="0.35">
      <c r="A57" t="s">
        <v>114</v>
      </c>
      <c r="B57">
        <v>2029</v>
      </c>
      <c r="C57" t="s">
        <v>9</v>
      </c>
      <c r="D57" t="s">
        <v>115</v>
      </c>
      <c r="E57" t="s">
        <v>116</v>
      </c>
      <c r="F57">
        <v>328.67354</v>
      </c>
      <c r="G57">
        <v>818360.55200000003</v>
      </c>
      <c r="H57" t="s">
        <v>21</v>
      </c>
    </row>
    <row r="58" spans="1:8" x14ac:dyDescent="0.35">
      <c r="A58" t="s">
        <v>117</v>
      </c>
      <c r="B58">
        <v>2028</v>
      </c>
      <c r="C58" t="s">
        <v>9</v>
      </c>
      <c r="D58" t="s">
        <v>118</v>
      </c>
      <c r="E58" t="s">
        <v>119</v>
      </c>
      <c r="F58">
        <v>322.37128999999999</v>
      </c>
      <c r="G58">
        <v>573049.86800000002</v>
      </c>
      <c r="H58" t="s">
        <v>21</v>
      </c>
    </row>
    <row r="59" spans="1:8" x14ac:dyDescent="0.35">
      <c r="A59" t="s">
        <v>120</v>
      </c>
      <c r="B59">
        <v>2030</v>
      </c>
      <c r="C59" t="s">
        <v>9</v>
      </c>
      <c r="D59" t="s">
        <v>121</v>
      </c>
      <c r="E59" t="s">
        <v>122</v>
      </c>
      <c r="F59">
        <v>210.15208699999999</v>
      </c>
      <c r="G59">
        <v>307702</v>
      </c>
      <c r="H59" t="s">
        <v>21</v>
      </c>
    </row>
    <row r="60" spans="1:8" x14ac:dyDescent="0.35">
      <c r="A60" t="s">
        <v>120</v>
      </c>
      <c r="B60">
        <v>2048</v>
      </c>
      <c r="C60" t="s">
        <v>121</v>
      </c>
      <c r="D60" t="s">
        <v>123</v>
      </c>
      <c r="E60" t="s">
        <v>82</v>
      </c>
      <c r="F60">
        <v>29.978242999999988</v>
      </c>
      <c r="G60">
        <v>842292.79813400004</v>
      </c>
      <c r="H60" t="s">
        <v>21</v>
      </c>
    </row>
    <row r="61" spans="1:8" x14ac:dyDescent="0.35">
      <c r="A61" t="s">
        <v>124</v>
      </c>
      <c r="B61">
        <v>2027</v>
      </c>
      <c r="C61" t="s">
        <v>9</v>
      </c>
      <c r="D61" t="s">
        <v>125</v>
      </c>
      <c r="E61" t="s">
        <v>72</v>
      </c>
      <c r="F61">
        <v>28.54177181333705</v>
      </c>
      <c r="G61">
        <v>26071.4</v>
      </c>
      <c r="H61" t="s">
        <v>21</v>
      </c>
    </row>
    <row r="62" spans="1:8" x14ac:dyDescent="0.35">
      <c r="A62" t="s">
        <v>124</v>
      </c>
      <c r="B62">
        <v>2035</v>
      </c>
      <c r="C62" t="s">
        <v>125</v>
      </c>
      <c r="D62" t="s">
        <v>126</v>
      </c>
      <c r="E62" t="s">
        <v>127</v>
      </c>
      <c r="F62">
        <v>159.83840490120889</v>
      </c>
      <c r="G62">
        <v>1370808.4</v>
      </c>
      <c r="H62" t="s">
        <v>21</v>
      </c>
    </row>
    <row r="63" spans="1:8" x14ac:dyDescent="0.35">
      <c r="A63" t="s">
        <v>128</v>
      </c>
      <c r="B63">
        <v>2029</v>
      </c>
      <c r="C63" t="s">
        <v>9</v>
      </c>
      <c r="D63" t="s">
        <v>129</v>
      </c>
      <c r="E63" t="s">
        <v>11</v>
      </c>
      <c r="F63">
        <v>146.66415590514021</v>
      </c>
      <c r="G63">
        <v>103932.1125</v>
      </c>
      <c r="H63" t="s">
        <v>21</v>
      </c>
    </row>
    <row r="64" spans="1:8" x14ac:dyDescent="0.35">
      <c r="A64" t="s">
        <v>128</v>
      </c>
      <c r="B64">
        <v>2038</v>
      </c>
      <c r="C64" t="s">
        <v>129</v>
      </c>
      <c r="D64" t="s">
        <v>130</v>
      </c>
      <c r="E64" t="s">
        <v>131</v>
      </c>
      <c r="F64">
        <v>160.9976025042391</v>
      </c>
      <c r="G64">
        <v>1567792.8</v>
      </c>
      <c r="H64" t="s">
        <v>21</v>
      </c>
    </row>
    <row r="65" spans="1:8" x14ac:dyDescent="0.35">
      <c r="A65" t="s">
        <v>132</v>
      </c>
      <c r="B65">
        <v>2029</v>
      </c>
      <c r="C65" t="s">
        <v>9</v>
      </c>
      <c r="D65" t="s">
        <v>133</v>
      </c>
      <c r="E65" t="s">
        <v>11</v>
      </c>
      <c r="F65">
        <v>40.228467489450217</v>
      </c>
      <c r="G65">
        <v>100120.6125</v>
      </c>
      <c r="H65" t="s">
        <v>21</v>
      </c>
    </row>
    <row r="66" spans="1:8" x14ac:dyDescent="0.35">
      <c r="A66" t="s">
        <v>132</v>
      </c>
      <c r="B66">
        <v>2039</v>
      </c>
      <c r="C66" t="s">
        <v>133</v>
      </c>
      <c r="D66" t="s">
        <v>134</v>
      </c>
      <c r="E66" t="s">
        <v>135</v>
      </c>
      <c r="F66">
        <v>112.2340451549701</v>
      </c>
      <c r="G66">
        <v>820634.28749999998</v>
      </c>
      <c r="H66" t="s">
        <v>21</v>
      </c>
    </row>
    <row r="67" spans="1:8" x14ac:dyDescent="0.35">
      <c r="A67" t="s">
        <v>136</v>
      </c>
      <c r="B67">
        <v>2032</v>
      </c>
      <c r="C67" t="s">
        <v>9</v>
      </c>
      <c r="D67" t="s">
        <v>137</v>
      </c>
      <c r="E67" t="s">
        <v>138</v>
      </c>
      <c r="F67">
        <v>112.2760216599179</v>
      </c>
      <c r="G67">
        <v>774587.53749999998</v>
      </c>
      <c r="H67" t="s">
        <v>21</v>
      </c>
    </row>
    <row r="68" spans="1:8" x14ac:dyDescent="0.35">
      <c r="A68" t="s">
        <v>136</v>
      </c>
      <c r="B68">
        <v>2043</v>
      </c>
      <c r="C68" t="s">
        <v>137</v>
      </c>
      <c r="D68" t="s">
        <v>139</v>
      </c>
      <c r="E68" t="s">
        <v>18</v>
      </c>
      <c r="F68">
        <v>19.374301022169689</v>
      </c>
      <c r="G68">
        <v>968916.46250000002</v>
      </c>
      <c r="H68" t="s">
        <v>21</v>
      </c>
    </row>
    <row r="69" spans="1:8" x14ac:dyDescent="0.35">
      <c r="A69" t="s">
        <v>140</v>
      </c>
      <c r="B69">
        <v>2030</v>
      </c>
      <c r="C69" t="s">
        <v>9</v>
      </c>
      <c r="D69" t="s">
        <v>141</v>
      </c>
      <c r="E69" t="s">
        <v>54</v>
      </c>
      <c r="F69">
        <v>137.87237485893729</v>
      </c>
      <c r="G69">
        <v>266245.38</v>
      </c>
      <c r="H69" t="s">
        <v>21</v>
      </c>
    </row>
    <row r="70" spans="1:8" x14ac:dyDescent="0.35">
      <c r="A70" t="s">
        <v>140</v>
      </c>
      <c r="B70">
        <v>2034</v>
      </c>
      <c r="C70" t="s">
        <v>141</v>
      </c>
      <c r="D70" t="s">
        <v>142</v>
      </c>
      <c r="E70" t="s">
        <v>143</v>
      </c>
      <c r="F70">
        <v>132.47975470533001</v>
      </c>
      <c r="G70">
        <v>991739.24999999988</v>
      </c>
      <c r="H70" t="s">
        <v>21</v>
      </c>
    </row>
    <row r="71" spans="1:8" x14ac:dyDescent="0.35">
      <c r="A71" t="s">
        <v>144</v>
      </c>
      <c r="B71">
        <v>2029</v>
      </c>
      <c r="C71" t="s">
        <v>9</v>
      </c>
      <c r="D71" t="s">
        <v>145</v>
      </c>
      <c r="E71" t="s">
        <v>109</v>
      </c>
      <c r="F71">
        <v>619.48361081937708</v>
      </c>
      <c r="G71">
        <v>646264</v>
      </c>
      <c r="H71" t="s">
        <v>21</v>
      </c>
    </row>
    <row r="72" spans="1:8" x14ac:dyDescent="0.35">
      <c r="A72" t="s">
        <v>144</v>
      </c>
      <c r="B72">
        <v>2033</v>
      </c>
      <c r="C72" t="s">
        <v>145</v>
      </c>
      <c r="D72" t="s">
        <v>146</v>
      </c>
      <c r="E72" t="s">
        <v>61</v>
      </c>
      <c r="F72">
        <v>110.0214620667509</v>
      </c>
      <c r="G72">
        <v>659675.32499999995</v>
      </c>
      <c r="H72" t="s">
        <v>21</v>
      </c>
    </row>
    <row r="73" spans="1:8" x14ac:dyDescent="0.35">
      <c r="A73" t="s">
        <v>147</v>
      </c>
      <c r="B73">
        <v>2035</v>
      </c>
      <c r="C73" t="s">
        <v>9</v>
      </c>
      <c r="D73" t="s">
        <v>148</v>
      </c>
      <c r="E73" t="s">
        <v>61</v>
      </c>
      <c r="F73">
        <v>104.32370045429001</v>
      </c>
      <c r="G73">
        <v>579250</v>
      </c>
      <c r="H73" t="s">
        <v>21</v>
      </c>
    </row>
    <row r="74" spans="1:8" x14ac:dyDescent="0.35">
      <c r="A74" t="s">
        <v>147</v>
      </c>
      <c r="B74">
        <v>2041</v>
      </c>
      <c r="C74" t="s">
        <v>148</v>
      </c>
      <c r="D74" t="s">
        <v>149</v>
      </c>
      <c r="E74" t="s">
        <v>91</v>
      </c>
      <c r="F74">
        <v>106.229531584965</v>
      </c>
      <c r="G74">
        <v>1977043.6665000001</v>
      </c>
      <c r="H74" t="s">
        <v>21</v>
      </c>
    </row>
    <row r="75" spans="1:8" x14ac:dyDescent="0.35">
      <c r="A75" t="s">
        <v>147</v>
      </c>
      <c r="B75">
        <v>2047</v>
      </c>
      <c r="C75" t="s">
        <v>149</v>
      </c>
      <c r="D75" t="s">
        <v>150</v>
      </c>
      <c r="E75" t="s">
        <v>66</v>
      </c>
      <c r="F75">
        <v>41.073904387543003</v>
      </c>
      <c r="G75">
        <v>301322.52350000013</v>
      </c>
      <c r="H75" t="s">
        <v>21</v>
      </c>
    </row>
    <row r="76" spans="1:8" x14ac:dyDescent="0.35">
      <c r="A76" t="s">
        <v>151</v>
      </c>
      <c r="B76">
        <v>2030</v>
      </c>
      <c r="C76" t="s">
        <v>9</v>
      </c>
      <c r="D76" t="s">
        <v>152</v>
      </c>
      <c r="E76" t="s">
        <v>54</v>
      </c>
      <c r="F76">
        <v>214.86475652604699</v>
      </c>
      <c r="G76">
        <v>461835</v>
      </c>
      <c r="H76" t="s">
        <v>21</v>
      </c>
    </row>
    <row r="77" spans="1:8" x14ac:dyDescent="0.35">
      <c r="A77" t="s">
        <v>151</v>
      </c>
      <c r="B77">
        <v>2036</v>
      </c>
      <c r="C77" t="s">
        <v>152</v>
      </c>
      <c r="D77" t="s">
        <v>153</v>
      </c>
      <c r="E77" t="s">
        <v>154</v>
      </c>
      <c r="F77">
        <v>138.35159584764301</v>
      </c>
      <c r="G77">
        <v>1362949.4</v>
      </c>
      <c r="H77" t="s">
        <v>21</v>
      </c>
    </row>
    <row r="78" spans="1:8" x14ac:dyDescent="0.35">
      <c r="A78" t="s">
        <v>151</v>
      </c>
      <c r="B78">
        <v>2039</v>
      </c>
      <c r="C78" t="s">
        <v>153</v>
      </c>
      <c r="D78" t="s">
        <v>155</v>
      </c>
      <c r="E78" t="s">
        <v>61</v>
      </c>
      <c r="F78">
        <v>66.536278947562039</v>
      </c>
      <c r="G78">
        <v>506550</v>
      </c>
      <c r="H78" t="s">
        <v>21</v>
      </c>
    </row>
    <row r="79" spans="1:8" x14ac:dyDescent="0.35">
      <c r="A79" t="s">
        <v>156</v>
      </c>
      <c r="B79">
        <v>2026</v>
      </c>
      <c r="C79" t="s">
        <v>9</v>
      </c>
      <c r="D79" t="s">
        <v>157</v>
      </c>
      <c r="E79" t="s">
        <v>72</v>
      </c>
      <c r="F79">
        <v>63.565737493575057</v>
      </c>
      <c r="G79">
        <v>68502.2</v>
      </c>
      <c r="H79" t="s">
        <v>21</v>
      </c>
    </row>
    <row r="80" spans="1:8" x14ac:dyDescent="0.35">
      <c r="A80" t="s">
        <v>156</v>
      </c>
      <c r="B80">
        <v>2027</v>
      </c>
      <c r="C80" t="s">
        <v>157</v>
      </c>
      <c r="D80" t="s">
        <v>158</v>
      </c>
      <c r="E80" t="s">
        <v>159</v>
      </c>
      <c r="F80">
        <v>210.07714856061889</v>
      </c>
      <c r="G80">
        <v>702573.37</v>
      </c>
      <c r="H80" t="s">
        <v>21</v>
      </c>
    </row>
    <row r="81" spans="1:8" x14ac:dyDescent="0.35">
      <c r="A81" t="s">
        <v>156</v>
      </c>
      <c r="B81">
        <v>2046</v>
      </c>
      <c r="C81" t="s">
        <v>158</v>
      </c>
      <c r="D81" t="s">
        <v>160</v>
      </c>
      <c r="E81" t="s">
        <v>57</v>
      </c>
      <c r="F81">
        <v>110.32785466571001</v>
      </c>
      <c r="G81">
        <v>1608871.8</v>
      </c>
      <c r="H81" t="s">
        <v>21</v>
      </c>
    </row>
    <row r="82" spans="1:8" x14ac:dyDescent="0.35">
      <c r="A82" t="s">
        <v>161</v>
      </c>
      <c r="B82">
        <v>2028</v>
      </c>
      <c r="C82" t="s">
        <v>9</v>
      </c>
      <c r="D82" t="s">
        <v>162</v>
      </c>
      <c r="E82" t="s">
        <v>54</v>
      </c>
      <c r="F82">
        <v>168.549483343839</v>
      </c>
      <c r="G82">
        <v>333163.47600000002</v>
      </c>
      <c r="H82" t="s">
        <v>21</v>
      </c>
    </row>
    <row r="83" spans="1:8" x14ac:dyDescent="0.35">
      <c r="A83" t="s">
        <v>161</v>
      </c>
      <c r="B83">
        <v>2033</v>
      </c>
      <c r="C83" t="s">
        <v>162</v>
      </c>
      <c r="D83" t="s">
        <v>163</v>
      </c>
      <c r="E83" t="s">
        <v>164</v>
      </c>
      <c r="F83">
        <v>143.9480955597287</v>
      </c>
      <c r="G83">
        <v>1334722.32</v>
      </c>
      <c r="H83" t="s">
        <v>21</v>
      </c>
    </row>
    <row r="84" spans="1:8" x14ac:dyDescent="0.35">
      <c r="A84" t="s">
        <v>165</v>
      </c>
      <c r="B84">
        <v>2030</v>
      </c>
      <c r="C84" t="s">
        <v>9</v>
      </c>
      <c r="D84" t="s">
        <v>166</v>
      </c>
      <c r="E84" t="s">
        <v>11</v>
      </c>
      <c r="F84">
        <v>60.655157234046698</v>
      </c>
      <c r="G84">
        <v>81304.2</v>
      </c>
      <c r="H84" t="s">
        <v>21</v>
      </c>
    </row>
    <row r="85" spans="1:8" x14ac:dyDescent="0.35">
      <c r="A85" t="s">
        <v>165</v>
      </c>
      <c r="B85">
        <v>2034</v>
      </c>
      <c r="C85" t="s">
        <v>166</v>
      </c>
      <c r="D85" t="s">
        <v>167</v>
      </c>
      <c r="E85" t="s">
        <v>82</v>
      </c>
      <c r="F85">
        <v>70.5526423536202</v>
      </c>
      <c r="G85">
        <v>654787.19999999995</v>
      </c>
      <c r="H85" t="s">
        <v>21</v>
      </c>
    </row>
    <row r="86" spans="1:8" x14ac:dyDescent="0.35">
      <c r="A86" t="s">
        <v>168</v>
      </c>
      <c r="B86">
        <v>2027</v>
      </c>
      <c r="C86" t="s">
        <v>9</v>
      </c>
      <c r="D86" t="s">
        <v>169</v>
      </c>
      <c r="E86" t="s">
        <v>11</v>
      </c>
      <c r="F86">
        <v>172.03790279504199</v>
      </c>
      <c r="G86">
        <v>176451.75</v>
      </c>
      <c r="H86" t="s">
        <v>21</v>
      </c>
    </row>
    <row r="87" spans="1:8" x14ac:dyDescent="0.35">
      <c r="A87" t="s">
        <v>168</v>
      </c>
      <c r="B87">
        <v>2031</v>
      </c>
      <c r="C87" t="s">
        <v>169</v>
      </c>
      <c r="D87" t="s">
        <v>170</v>
      </c>
      <c r="E87" t="s">
        <v>171</v>
      </c>
      <c r="F87">
        <v>202.312031375359</v>
      </c>
      <c r="G87">
        <v>763059.87</v>
      </c>
      <c r="H87" t="s">
        <v>21</v>
      </c>
    </row>
    <row r="88" spans="1:8" x14ac:dyDescent="0.35">
      <c r="A88" t="s">
        <v>168</v>
      </c>
      <c r="B88">
        <v>2047</v>
      </c>
      <c r="C88" t="s">
        <v>170</v>
      </c>
      <c r="D88" t="s">
        <v>172</v>
      </c>
      <c r="E88" t="s">
        <v>18</v>
      </c>
      <c r="F88">
        <v>30.88628312119079</v>
      </c>
      <c r="G88">
        <v>860125.25999999989</v>
      </c>
      <c r="H88" t="s">
        <v>21</v>
      </c>
    </row>
    <row r="89" spans="1:8" x14ac:dyDescent="0.35">
      <c r="A89" t="s">
        <v>173</v>
      </c>
      <c r="B89">
        <v>2028</v>
      </c>
      <c r="C89" t="s">
        <v>9</v>
      </c>
      <c r="D89" t="s">
        <v>174</v>
      </c>
      <c r="E89" t="s">
        <v>54</v>
      </c>
      <c r="F89">
        <v>166.0758942785142</v>
      </c>
      <c r="G89">
        <v>355978.8</v>
      </c>
      <c r="H89" t="s">
        <v>21</v>
      </c>
    </row>
    <row r="90" spans="1:8" x14ac:dyDescent="0.35">
      <c r="A90" t="s">
        <v>173</v>
      </c>
      <c r="B90">
        <v>2040</v>
      </c>
      <c r="C90" t="s">
        <v>174</v>
      </c>
      <c r="D90" t="s">
        <v>175</v>
      </c>
      <c r="E90" t="s">
        <v>176</v>
      </c>
      <c r="F90">
        <v>142.24625615321571</v>
      </c>
      <c r="G90">
        <v>1335247</v>
      </c>
      <c r="H90" t="s">
        <v>21</v>
      </c>
    </row>
    <row r="91" spans="1:8" x14ac:dyDescent="0.35">
      <c r="A91" t="s">
        <v>177</v>
      </c>
      <c r="B91">
        <v>2028</v>
      </c>
      <c r="C91" t="s">
        <v>9</v>
      </c>
      <c r="D91" t="s">
        <v>178</v>
      </c>
      <c r="E91" t="s">
        <v>54</v>
      </c>
      <c r="F91">
        <v>97.45402069972728</v>
      </c>
      <c r="G91">
        <v>228505.05</v>
      </c>
      <c r="H91" t="s">
        <v>21</v>
      </c>
    </row>
    <row r="92" spans="1:8" x14ac:dyDescent="0.35">
      <c r="A92" t="s">
        <v>177</v>
      </c>
      <c r="B92">
        <v>2031</v>
      </c>
      <c r="C92" t="s">
        <v>178</v>
      </c>
      <c r="D92" t="s">
        <v>179</v>
      </c>
      <c r="E92" t="s">
        <v>180</v>
      </c>
      <c r="F92">
        <v>116.7805619031478</v>
      </c>
      <c r="G92">
        <v>1085270.21</v>
      </c>
      <c r="H92" t="s">
        <v>21</v>
      </c>
    </row>
    <row r="93" spans="1:8" x14ac:dyDescent="0.35">
      <c r="A93" t="s">
        <v>181</v>
      </c>
      <c r="B93">
        <v>2030</v>
      </c>
      <c r="C93" t="s">
        <v>9</v>
      </c>
      <c r="D93" t="s">
        <v>182</v>
      </c>
      <c r="E93" t="s">
        <v>183</v>
      </c>
      <c r="F93">
        <v>123.84193813187829</v>
      </c>
      <c r="G93">
        <v>272250.12</v>
      </c>
      <c r="H93" t="s">
        <v>12</v>
      </c>
    </row>
    <row r="94" spans="1:8" x14ac:dyDescent="0.35">
      <c r="A94" t="s">
        <v>181</v>
      </c>
      <c r="B94">
        <v>2044</v>
      </c>
      <c r="C94" t="s">
        <v>182</v>
      </c>
      <c r="D94" t="s">
        <v>184</v>
      </c>
      <c r="E94" t="s">
        <v>91</v>
      </c>
      <c r="F94">
        <v>15.508364066219199</v>
      </c>
      <c r="G94">
        <v>644591.30000000005</v>
      </c>
      <c r="H94" t="s">
        <v>12</v>
      </c>
    </row>
    <row r="95" spans="1:8" x14ac:dyDescent="0.35">
      <c r="A95" t="s">
        <v>185</v>
      </c>
      <c r="B95">
        <v>2027</v>
      </c>
      <c r="C95" t="s">
        <v>9</v>
      </c>
      <c r="D95" t="s">
        <v>186</v>
      </c>
      <c r="E95" t="s">
        <v>72</v>
      </c>
      <c r="F95">
        <v>156.97550000000001</v>
      </c>
      <c r="G95">
        <v>38515.465943000003</v>
      </c>
      <c r="H95" t="s">
        <v>12</v>
      </c>
    </row>
    <row r="96" spans="1:8" x14ac:dyDescent="0.35">
      <c r="A96" t="s">
        <v>185</v>
      </c>
      <c r="B96">
        <v>2042</v>
      </c>
      <c r="C96" t="s">
        <v>186</v>
      </c>
      <c r="D96" t="s">
        <v>187</v>
      </c>
      <c r="E96" t="s">
        <v>82</v>
      </c>
      <c r="F96">
        <v>26.301199999999991</v>
      </c>
      <c r="G96">
        <v>1436403.314057</v>
      </c>
      <c r="H96" t="s">
        <v>12</v>
      </c>
    </row>
    <row r="97" spans="1:8" x14ac:dyDescent="0.35">
      <c r="A97" t="s">
        <v>188</v>
      </c>
      <c r="B97">
        <v>2045</v>
      </c>
      <c r="C97" t="s">
        <v>9</v>
      </c>
      <c r="D97" t="s">
        <v>189</v>
      </c>
      <c r="E97" t="s">
        <v>57</v>
      </c>
      <c r="F97">
        <v>14.857799999999999</v>
      </c>
      <c r="G97">
        <v>569215.19999999995</v>
      </c>
      <c r="H97" t="s">
        <v>12</v>
      </c>
    </row>
    <row r="98" spans="1:8" x14ac:dyDescent="0.35">
      <c r="A98" t="s">
        <v>190</v>
      </c>
      <c r="B98">
        <v>2029</v>
      </c>
      <c r="C98" t="s">
        <v>9</v>
      </c>
      <c r="D98" t="s">
        <v>191</v>
      </c>
      <c r="E98" t="s">
        <v>61</v>
      </c>
      <c r="F98">
        <v>124.43746623257</v>
      </c>
      <c r="G98">
        <v>238050</v>
      </c>
      <c r="H98" t="s">
        <v>12</v>
      </c>
    </row>
    <row r="99" spans="1:8" x14ac:dyDescent="0.35">
      <c r="A99" t="s">
        <v>190</v>
      </c>
      <c r="B99">
        <v>2050</v>
      </c>
      <c r="C99" t="s">
        <v>191</v>
      </c>
      <c r="D99" t="s">
        <v>192</v>
      </c>
      <c r="E99" t="s">
        <v>193</v>
      </c>
      <c r="F99">
        <v>18.583109556676089</v>
      </c>
      <c r="G99">
        <v>599143.69999999995</v>
      </c>
      <c r="H99" t="s">
        <v>12</v>
      </c>
    </row>
    <row r="100" spans="1:8" x14ac:dyDescent="0.35">
      <c r="A100" t="s">
        <v>194</v>
      </c>
      <c r="B100">
        <v>2027</v>
      </c>
      <c r="C100" t="s">
        <v>9</v>
      </c>
      <c r="D100" t="s">
        <v>195</v>
      </c>
      <c r="E100" t="s">
        <v>11</v>
      </c>
      <c r="F100">
        <v>22.90961999999999</v>
      </c>
      <c r="G100">
        <v>57632.4</v>
      </c>
      <c r="H100" t="s">
        <v>12</v>
      </c>
    </row>
    <row r="101" spans="1:8" x14ac:dyDescent="0.35">
      <c r="A101" t="s">
        <v>194</v>
      </c>
      <c r="B101">
        <v>2043</v>
      </c>
      <c r="C101" t="s">
        <v>195</v>
      </c>
      <c r="D101" t="s">
        <v>196</v>
      </c>
      <c r="E101" t="s">
        <v>82</v>
      </c>
      <c r="F101">
        <v>7.3322000000000003</v>
      </c>
      <c r="G101">
        <v>329068.79999999999</v>
      </c>
      <c r="H101" t="s">
        <v>12</v>
      </c>
    </row>
    <row r="102" spans="1:8" x14ac:dyDescent="0.35">
      <c r="A102" t="s">
        <v>197</v>
      </c>
      <c r="B102">
        <v>2026</v>
      </c>
      <c r="C102" t="s">
        <v>9</v>
      </c>
      <c r="D102" t="s">
        <v>198</v>
      </c>
      <c r="E102" t="s">
        <v>11</v>
      </c>
      <c r="F102">
        <v>73.917410000000018</v>
      </c>
      <c r="G102">
        <v>69747.91</v>
      </c>
      <c r="H102" t="s">
        <v>12</v>
      </c>
    </row>
    <row r="103" spans="1:8" x14ac:dyDescent="0.35">
      <c r="A103" t="s">
        <v>197</v>
      </c>
      <c r="B103">
        <v>2032</v>
      </c>
      <c r="C103" t="s">
        <v>198</v>
      </c>
      <c r="D103" t="s">
        <v>199</v>
      </c>
      <c r="E103" t="s">
        <v>14</v>
      </c>
      <c r="F103">
        <v>28.11838999999998</v>
      </c>
      <c r="G103">
        <v>142300.19899999999</v>
      </c>
      <c r="H103" t="s">
        <v>12</v>
      </c>
    </row>
    <row r="104" spans="1:8" x14ac:dyDescent="0.35">
      <c r="A104" t="s">
        <v>197</v>
      </c>
      <c r="B104">
        <v>2034</v>
      </c>
      <c r="C104" t="s">
        <v>199</v>
      </c>
      <c r="D104" t="s">
        <v>200</v>
      </c>
      <c r="E104" t="s">
        <v>183</v>
      </c>
      <c r="F104">
        <v>75.213210000000004</v>
      </c>
      <c r="G104">
        <v>202020.74100000001</v>
      </c>
      <c r="H104" t="s">
        <v>12</v>
      </c>
    </row>
    <row r="105" spans="1:8" x14ac:dyDescent="0.35">
      <c r="A105" t="s">
        <v>201</v>
      </c>
      <c r="B105">
        <v>2026</v>
      </c>
      <c r="C105" t="s">
        <v>9</v>
      </c>
      <c r="D105" t="s">
        <v>202</v>
      </c>
      <c r="E105" t="s">
        <v>61</v>
      </c>
      <c r="F105">
        <v>73.597017894566108</v>
      </c>
      <c r="G105">
        <v>133100</v>
      </c>
      <c r="H105" t="s">
        <v>12</v>
      </c>
    </row>
    <row r="106" spans="1:8" x14ac:dyDescent="0.35">
      <c r="A106" t="s">
        <v>201</v>
      </c>
      <c r="B106">
        <v>2032</v>
      </c>
      <c r="C106" t="s">
        <v>202</v>
      </c>
      <c r="D106" t="s">
        <v>203</v>
      </c>
      <c r="E106" t="s">
        <v>109</v>
      </c>
      <c r="F106">
        <v>128.38059522356599</v>
      </c>
      <c r="G106">
        <v>687649.2</v>
      </c>
      <c r="H106" t="s">
        <v>12</v>
      </c>
    </row>
    <row r="107" spans="1:8" x14ac:dyDescent="0.35">
      <c r="A107" t="s">
        <v>204</v>
      </c>
      <c r="B107">
        <v>2028</v>
      </c>
      <c r="C107" t="s">
        <v>9</v>
      </c>
      <c r="D107" t="s">
        <v>205</v>
      </c>
      <c r="E107" t="s">
        <v>11</v>
      </c>
      <c r="F107">
        <v>45.029677638955022</v>
      </c>
      <c r="G107">
        <v>78050.264460705075</v>
      </c>
      <c r="H107" t="s">
        <v>26</v>
      </c>
    </row>
    <row r="108" spans="1:8" x14ac:dyDescent="0.35">
      <c r="A108" t="s">
        <v>204</v>
      </c>
      <c r="B108">
        <v>2030</v>
      </c>
      <c r="C108" t="s">
        <v>205</v>
      </c>
      <c r="D108" t="s">
        <v>206</v>
      </c>
      <c r="E108" t="s">
        <v>72</v>
      </c>
      <c r="F108">
        <v>9.1249849348097314</v>
      </c>
      <c r="G108">
        <v>10987.985539294919</v>
      </c>
      <c r="H108" t="s">
        <v>26</v>
      </c>
    </row>
    <row r="109" spans="1:8" x14ac:dyDescent="0.35">
      <c r="A109" t="s">
        <v>204</v>
      </c>
      <c r="B109">
        <v>2036</v>
      </c>
      <c r="C109" t="s">
        <v>206</v>
      </c>
      <c r="D109" t="s">
        <v>207</v>
      </c>
      <c r="E109" t="s">
        <v>63</v>
      </c>
      <c r="F109">
        <v>29.4501933938223</v>
      </c>
      <c r="G109">
        <v>244860.483405065</v>
      </c>
      <c r="H109" t="s">
        <v>26</v>
      </c>
    </row>
    <row r="110" spans="1:8" x14ac:dyDescent="0.35">
      <c r="A110" t="s">
        <v>208</v>
      </c>
      <c r="B110">
        <v>2039</v>
      </c>
      <c r="C110" t="s">
        <v>9</v>
      </c>
      <c r="D110" t="s">
        <v>209</v>
      </c>
      <c r="E110" t="s">
        <v>11</v>
      </c>
      <c r="F110">
        <v>0.84129237939744161</v>
      </c>
      <c r="G110">
        <v>9341.4002812991912</v>
      </c>
      <c r="H110" t="s">
        <v>26</v>
      </c>
    </row>
    <row r="111" spans="1:8" x14ac:dyDescent="0.35">
      <c r="A111" t="s">
        <v>208</v>
      </c>
      <c r="B111">
        <v>2048</v>
      </c>
      <c r="C111" t="s">
        <v>209</v>
      </c>
      <c r="D111" t="s">
        <v>210</v>
      </c>
      <c r="E111" t="s">
        <v>154</v>
      </c>
      <c r="F111">
        <v>0.21149375100199941</v>
      </c>
      <c r="G111">
        <v>61884.029541900672</v>
      </c>
      <c r="H111" t="s">
        <v>26</v>
      </c>
    </row>
    <row r="112" spans="1:8" x14ac:dyDescent="0.35">
      <c r="A112" t="s">
        <v>211</v>
      </c>
      <c r="B112">
        <v>2027</v>
      </c>
      <c r="C112" t="s">
        <v>9</v>
      </c>
      <c r="D112" t="s">
        <v>212</v>
      </c>
      <c r="E112" t="s">
        <v>11</v>
      </c>
      <c r="F112">
        <v>5.0857900000000029</v>
      </c>
      <c r="G112">
        <v>15402.11</v>
      </c>
      <c r="H112" t="s">
        <v>26</v>
      </c>
    </row>
    <row r="113" spans="1:8" x14ac:dyDescent="0.35">
      <c r="A113" t="s">
        <v>211</v>
      </c>
      <c r="B113">
        <v>2034</v>
      </c>
      <c r="C113" t="s">
        <v>212</v>
      </c>
      <c r="D113" t="s">
        <v>213</v>
      </c>
      <c r="E113" t="s">
        <v>214</v>
      </c>
      <c r="F113">
        <v>6.8878399999999971</v>
      </c>
      <c r="G113">
        <v>45029.73</v>
      </c>
      <c r="H113" t="s">
        <v>26</v>
      </c>
    </row>
    <row r="114" spans="1:8" x14ac:dyDescent="0.35">
      <c r="A114" t="s">
        <v>215</v>
      </c>
      <c r="B114">
        <v>2027</v>
      </c>
      <c r="C114" t="s">
        <v>9</v>
      </c>
      <c r="D114" t="s">
        <v>216</v>
      </c>
      <c r="E114" t="s">
        <v>11</v>
      </c>
      <c r="F114">
        <v>5.3192298155530366</v>
      </c>
      <c r="G114">
        <v>12986.24608279649</v>
      </c>
      <c r="H114" t="s">
        <v>32</v>
      </c>
    </row>
    <row r="115" spans="1:8" x14ac:dyDescent="0.35">
      <c r="A115" t="s">
        <v>215</v>
      </c>
      <c r="B115">
        <v>2038</v>
      </c>
      <c r="C115" t="s">
        <v>216</v>
      </c>
      <c r="D115" t="s">
        <v>217</v>
      </c>
      <c r="E115" t="s">
        <v>61</v>
      </c>
      <c r="F115">
        <v>5.4188617104797228</v>
      </c>
      <c r="G115">
        <v>57305.47422814805</v>
      </c>
      <c r="H115" t="s">
        <v>32</v>
      </c>
    </row>
    <row r="116" spans="1:8" x14ac:dyDescent="0.35">
      <c r="A116" t="s">
        <v>215</v>
      </c>
      <c r="B116">
        <v>2042</v>
      </c>
      <c r="C116" t="s">
        <v>217</v>
      </c>
      <c r="D116" t="s">
        <v>218</v>
      </c>
      <c r="E116" t="s">
        <v>154</v>
      </c>
      <c r="F116">
        <v>6.8177414535394494</v>
      </c>
      <c r="G116">
        <v>121344.01956307171</v>
      </c>
      <c r="H116" t="s">
        <v>32</v>
      </c>
    </row>
    <row r="117" spans="1:8" x14ac:dyDescent="0.35">
      <c r="A117" t="s">
        <v>219</v>
      </c>
      <c r="B117">
        <v>2045</v>
      </c>
      <c r="C117" t="s">
        <v>9</v>
      </c>
      <c r="D117" t="s">
        <v>220</v>
      </c>
      <c r="E117" t="s">
        <v>11</v>
      </c>
      <c r="F117">
        <v>1.06301</v>
      </c>
      <c r="G117">
        <v>24740.71</v>
      </c>
      <c r="H117" t="s">
        <v>26</v>
      </c>
    </row>
    <row r="118" spans="1:8" x14ac:dyDescent="0.35">
      <c r="A118" t="s">
        <v>219</v>
      </c>
      <c r="B118">
        <v>2048</v>
      </c>
      <c r="C118" t="s">
        <v>220</v>
      </c>
      <c r="D118" t="s">
        <v>221</v>
      </c>
      <c r="E118" t="s">
        <v>222</v>
      </c>
      <c r="F118">
        <v>3.3023769999999999</v>
      </c>
      <c r="G118">
        <v>154332.99</v>
      </c>
      <c r="H118" t="s">
        <v>26</v>
      </c>
    </row>
    <row r="119" spans="1:8" x14ac:dyDescent="0.35">
      <c r="A119" t="s">
        <v>223</v>
      </c>
      <c r="B119">
        <v>2048</v>
      </c>
      <c r="C119" t="s">
        <v>9</v>
      </c>
      <c r="D119" t="s">
        <v>224</v>
      </c>
      <c r="E119" t="s">
        <v>225</v>
      </c>
      <c r="F119">
        <v>8.7928260437898693</v>
      </c>
      <c r="G119">
        <v>185904.2163574789</v>
      </c>
      <c r="H119" t="s">
        <v>26</v>
      </c>
    </row>
    <row r="120" spans="1:8" x14ac:dyDescent="0.35">
      <c r="A120" t="s">
        <v>223</v>
      </c>
      <c r="B120">
        <v>2049</v>
      </c>
      <c r="C120" t="s">
        <v>224</v>
      </c>
      <c r="D120" t="s">
        <v>226</v>
      </c>
      <c r="E120" t="s">
        <v>18</v>
      </c>
      <c r="F120">
        <v>1.5315632740522001</v>
      </c>
      <c r="G120">
        <v>106073.1370885404</v>
      </c>
      <c r="H120" t="s">
        <v>26</v>
      </c>
    </row>
    <row r="121" spans="1:8" x14ac:dyDescent="0.35">
      <c r="A121" t="s">
        <v>227</v>
      </c>
      <c r="B121">
        <v>2037</v>
      </c>
      <c r="C121" t="s">
        <v>9</v>
      </c>
      <c r="D121" t="s">
        <v>228</v>
      </c>
      <c r="E121" t="s">
        <v>138</v>
      </c>
      <c r="F121">
        <v>6.8459569869175212</v>
      </c>
      <c r="G121">
        <v>54973.59435801323</v>
      </c>
      <c r="H121" t="s">
        <v>32</v>
      </c>
    </row>
    <row r="122" spans="1:8" x14ac:dyDescent="0.35">
      <c r="A122" t="s">
        <v>227</v>
      </c>
      <c r="B122">
        <v>2049</v>
      </c>
      <c r="C122" t="s">
        <v>228</v>
      </c>
      <c r="D122" t="s">
        <v>229</v>
      </c>
      <c r="E122" t="s">
        <v>63</v>
      </c>
      <c r="F122">
        <v>4.0601902056852079</v>
      </c>
      <c r="G122">
        <v>71935.517049553673</v>
      </c>
      <c r="H122" t="s">
        <v>32</v>
      </c>
    </row>
    <row r="123" spans="1:8" x14ac:dyDescent="0.35">
      <c r="A123" t="s">
        <v>230</v>
      </c>
      <c r="B123">
        <v>2037</v>
      </c>
      <c r="C123" t="s">
        <v>9</v>
      </c>
      <c r="D123" t="s">
        <v>231</v>
      </c>
      <c r="E123" t="s">
        <v>16</v>
      </c>
      <c r="F123">
        <v>0.92327100426064124</v>
      </c>
      <c r="G123">
        <v>16433.072570775072</v>
      </c>
      <c r="H123" t="s">
        <v>26</v>
      </c>
    </row>
    <row r="124" spans="1:8" x14ac:dyDescent="0.35">
      <c r="A124" t="s">
        <v>230</v>
      </c>
      <c r="B124">
        <v>2040</v>
      </c>
      <c r="C124" t="s">
        <v>231</v>
      </c>
      <c r="D124" t="s">
        <v>232</v>
      </c>
      <c r="E124" t="s">
        <v>45</v>
      </c>
      <c r="F124">
        <v>5.6874140166173994</v>
      </c>
      <c r="G124">
        <v>57840.802350333033</v>
      </c>
      <c r="H124" t="s">
        <v>26</v>
      </c>
    </row>
    <row r="125" spans="1:8" x14ac:dyDescent="0.35">
      <c r="A125" t="s">
        <v>230</v>
      </c>
      <c r="B125">
        <v>2050</v>
      </c>
      <c r="C125" t="s">
        <v>232</v>
      </c>
      <c r="D125" t="s">
        <v>233</v>
      </c>
      <c r="E125" t="s">
        <v>18</v>
      </c>
      <c r="F125">
        <v>2.5902092070017808</v>
      </c>
      <c r="G125">
        <v>89197.135243616794</v>
      </c>
      <c r="H125" t="s">
        <v>26</v>
      </c>
    </row>
    <row r="126" spans="1:8" x14ac:dyDescent="0.35">
      <c r="A126" t="s">
        <v>234</v>
      </c>
      <c r="B126">
        <v>2037</v>
      </c>
      <c r="C126" t="s">
        <v>9</v>
      </c>
      <c r="D126" t="s">
        <v>235</v>
      </c>
      <c r="E126" t="s">
        <v>119</v>
      </c>
      <c r="F126">
        <v>16.660058670938941</v>
      </c>
      <c r="G126">
        <v>120454.0399502306</v>
      </c>
      <c r="H126" t="s">
        <v>26</v>
      </c>
    </row>
    <row r="127" spans="1:8" x14ac:dyDescent="0.35">
      <c r="A127" t="s">
        <v>234</v>
      </c>
      <c r="B127">
        <v>2046</v>
      </c>
      <c r="C127" t="s">
        <v>235</v>
      </c>
      <c r="D127" t="s">
        <v>236</v>
      </c>
      <c r="E127" t="s">
        <v>18</v>
      </c>
      <c r="F127">
        <v>1.3479147329330099</v>
      </c>
      <c r="G127">
        <v>82040.732074304804</v>
      </c>
      <c r="H127" t="s">
        <v>26</v>
      </c>
    </row>
    <row r="128" spans="1:8" x14ac:dyDescent="0.35">
      <c r="A128" t="s">
        <v>237</v>
      </c>
      <c r="B128">
        <v>2027</v>
      </c>
      <c r="C128" t="s">
        <v>9</v>
      </c>
      <c r="D128" t="s">
        <v>238</v>
      </c>
      <c r="E128" t="s">
        <v>72</v>
      </c>
      <c r="F128">
        <v>33.175050000000013</v>
      </c>
      <c r="G128">
        <v>71000</v>
      </c>
      <c r="H128" t="s">
        <v>26</v>
      </c>
    </row>
    <row r="129" spans="1:8" x14ac:dyDescent="0.35">
      <c r="A129" t="s">
        <v>237</v>
      </c>
      <c r="B129">
        <v>2050</v>
      </c>
      <c r="C129" t="s">
        <v>238</v>
      </c>
      <c r="D129" t="s">
        <v>239</v>
      </c>
      <c r="E129" t="s">
        <v>240</v>
      </c>
      <c r="F129">
        <v>2.5022699999999891</v>
      </c>
      <c r="G129">
        <v>457551.45199999987</v>
      </c>
      <c r="H129" t="s">
        <v>26</v>
      </c>
    </row>
    <row r="130" spans="1:8" x14ac:dyDescent="0.35">
      <c r="A130" t="s">
        <v>241</v>
      </c>
      <c r="B130">
        <v>2045</v>
      </c>
      <c r="C130" t="s">
        <v>9</v>
      </c>
      <c r="D130" t="s">
        <v>242</v>
      </c>
      <c r="E130" t="s">
        <v>243</v>
      </c>
      <c r="F130">
        <v>10.348367579621589</v>
      </c>
      <c r="G130">
        <v>1230328.272410715</v>
      </c>
      <c r="H130" t="s">
        <v>26</v>
      </c>
    </row>
    <row r="131" spans="1:8" x14ac:dyDescent="0.35">
      <c r="A131" t="s">
        <v>244</v>
      </c>
      <c r="B131">
        <v>2028</v>
      </c>
      <c r="C131" t="s">
        <v>9</v>
      </c>
      <c r="D131" t="s">
        <v>245</v>
      </c>
      <c r="E131" t="s">
        <v>61</v>
      </c>
      <c r="F131">
        <v>16.3726950353295</v>
      </c>
      <c r="G131">
        <v>18800</v>
      </c>
      <c r="H131" t="s">
        <v>26</v>
      </c>
    </row>
    <row r="132" spans="1:8" x14ac:dyDescent="0.35">
      <c r="A132" t="s">
        <v>244</v>
      </c>
      <c r="B132">
        <v>2038</v>
      </c>
      <c r="C132" t="s">
        <v>245</v>
      </c>
      <c r="D132" t="s">
        <v>246</v>
      </c>
      <c r="E132" t="s">
        <v>247</v>
      </c>
      <c r="F132">
        <v>43.177670964028898</v>
      </c>
      <c r="G132">
        <v>274952.19</v>
      </c>
      <c r="H132" t="s">
        <v>26</v>
      </c>
    </row>
    <row r="133" spans="1:8" x14ac:dyDescent="0.35">
      <c r="A133" t="s">
        <v>248</v>
      </c>
      <c r="B133">
        <v>2040</v>
      </c>
      <c r="C133" t="s">
        <v>9</v>
      </c>
      <c r="D133" t="s">
        <v>249</v>
      </c>
      <c r="E133" t="s">
        <v>61</v>
      </c>
      <c r="F133">
        <v>10.9498</v>
      </c>
      <c r="G133">
        <v>92083.26</v>
      </c>
      <c r="H133" t="s">
        <v>26</v>
      </c>
    </row>
    <row r="134" spans="1:8" x14ac:dyDescent="0.35">
      <c r="A134" t="s">
        <v>248</v>
      </c>
      <c r="B134">
        <v>2042</v>
      </c>
      <c r="C134" t="s">
        <v>249</v>
      </c>
      <c r="D134" t="s">
        <v>250</v>
      </c>
      <c r="E134" t="s">
        <v>251</v>
      </c>
      <c r="F134">
        <v>10.65570000000001</v>
      </c>
      <c r="G134">
        <v>238574.14</v>
      </c>
      <c r="H134" t="s">
        <v>26</v>
      </c>
    </row>
    <row r="135" spans="1:8" x14ac:dyDescent="0.35">
      <c r="A135" t="s">
        <v>252</v>
      </c>
      <c r="B135">
        <v>2029</v>
      </c>
      <c r="C135" t="s">
        <v>9</v>
      </c>
      <c r="D135" t="s">
        <v>253</v>
      </c>
      <c r="E135" t="s">
        <v>11</v>
      </c>
      <c r="F135">
        <v>21.350376415122529</v>
      </c>
      <c r="G135">
        <v>27306.720000000001</v>
      </c>
      <c r="H135" t="s">
        <v>26</v>
      </c>
    </row>
    <row r="136" spans="1:8" x14ac:dyDescent="0.35">
      <c r="A136" t="s">
        <v>252</v>
      </c>
      <c r="B136">
        <v>2037</v>
      </c>
      <c r="C136" t="s">
        <v>253</v>
      </c>
      <c r="D136" t="s">
        <v>254</v>
      </c>
      <c r="E136" t="s">
        <v>255</v>
      </c>
      <c r="F136">
        <v>14.788299052942371</v>
      </c>
      <c r="G136">
        <v>62471.240000000013</v>
      </c>
      <c r="H136" t="s">
        <v>26</v>
      </c>
    </row>
    <row r="137" spans="1:8" x14ac:dyDescent="0.35">
      <c r="A137" t="s">
        <v>252</v>
      </c>
      <c r="B137">
        <v>2040</v>
      </c>
      <c r="C137" t="s">
        <v>254</v>
      </c>
      <c r="D137" t="s">
        <v>256</v>
      </c>
      <c r="E137" t="s">
        <v>176</v>
      </c>
      <c r="F137">
        <v>12.247781578591381</v>
      </c>
      <c r="G137">
        <v>135533.18</v>
      </c>
      <c r="H137" t="s">
        <v>26</v>
      </c>
    </row>
    <row r="138" spans="1:8" x14ac:dyDescent="0.35">
      <c r="A138" t="s">
        <v>257</v>
      </c>
      <c r="B138">
        <v>2036</v>
      </c>
      <c r="C138" t="s">
        <v>9</v>
      </c>
      <c r="D138" t="s">
        <v>258</v>
      </c>
      <c r="E138" t="s">
        <v>259</v>
      </c>
      <c r="F138">
        <v>65.149483434267694</v>
      </c>
      <c r="G138">
        <v>275781.31594995741</v>
      </c>
      <c r="H138" t="s">
        <v>21</v>
      </c>
    </row>
    <row r="139" spans="1:8" x14ac:dyDescent="0.35">
      <c r="A139" t="s">
        <v>257</v>
      </c>
      <c r="B139">
        <v>2040</v>
      </c>
      <c r="C139" t="s">
        <v>258</v>
      </c>
      <c r="D139" t="s">
        <v>260</v>
      </c>
      <c r="E139" t="s">
        <v>18</v>
      </c>
      <c r="F139">
        <v>20.654629270324818</v>
      </c>
      <c r="G139">
        <v>198630.0299002869</v>
      </c>
      <c r="H139" t="s">
        <v>21</v>
      </c>
    </row>
    <row r="140" spans="1:8" x14ac:dyDescent="0.35">
      <c r="A140" t="s">
        <v>261</v>
      </c>
      <c r="B140">
        <v>2027</v>
      </c>
      <c r="C140" t="s">
        <v>9</v>
      </c>
      <c r="D140" t="s">
        <v>262</v>
      </c>
      <c r="E140" t="s">
        <v>16</v>
      </c>
      <c r="F140">
        <v>3.1918799999999989</v>
      </c>
      <c r="G140">
        <v>8160.415</v>
      </c>
      <c r="H140" t="s">
        <v>26</v>
      </c>
    </row>
    <row r="141" spans="1:8" x14ac:dyDescent="0.35">
      <c r="A141" t="s">
        <v>261</v>
      </c>
      <c r="B141">
        <v>2029</v>
      </c>
      <c r="C141" t="s">
        <v>262</v>
      </c>
      <c r="D141" t="s">
        <v>263</v>
      </c>
      <c r="E141" t="s">
        <v>11</v>
      </c>
      <c r="F141">
        <v>5.1008970000000016</v>
      </c>
      <c r="G141">
        <v>5624.585</v>
      </c>
      <c r="H141" t="s">
        <v>26</v>
      </c>
    </row>
    <row r="142" spans="1:8" x14ac:dyDescent="0.35">
      <c r="A142" t="s">
        <v>261</v>
      </c>
      <c r="B142">
        <v>2039</v>
      </c>
      <c r="C142" t="s">
        <v>263</v>
      </c>
      <c r="D142" t="s">
        <v>264</v>
      </c>
      <c r="E142" t="s">
        <v>57</v>
      </c>
      <c r="F142">
        <v>2.299386999999999</v>
      </c>
      <c r="G142">
        <v>23817</v>
      </c>
      <c r="H142" t="s">
        <v>26</v>
      </c>
    </row>
    <row r="143" spans="1:8" x14ac:dyDescent="0.35">
      <c r="A143" t="s">
        <v>265</v>
      </c>
      <c r="B143">
        <v>2030</v>
      </c>
      <c r="C143" t="s">
        <v>9</v>
      </c>
      <c r="D143" t="s">
        <v>266</v>
      </c>
      <c r="E143" t="s">
        <v>36</v>
      </c>
      <c r="F143">
        <v>9.7206936774894821</v>
      </c>
      <c r="G143">
        <v>26094.599932147201</v>
      </c>
      <c r="H143" t="s">
        <v>12</v>
      </c>
    </row>
    <row r="144" spans="1:8" x14ac:dyDescent="0.35">
      <c r="A144" t="s">
        <v>265</v>
      </c>
      <c r="B144">
        <v>2036</v>
      </c>
      <c r="C144" t="s">
        <v>266</v>
      </c>
      <c r="D144" t="s">
        <v>267</v>
      </c>
      <c r="E144" t="s">
        <v>61</v>
      </c>
      <c r="F144">
        <v>3.704168062062708</v>
      </c>
      <c r="G144">
        <v>26064.525753353599</v>
      </c>
      <c r="H144" t="s">
        <v>12</v>
      </c>
    </row>
    <row r="145" spans="1:8" x14ac:dyDescent="0.35">
      <c r="A145" t="s">
        <v>268</v>
      </c>
      <c r="B145">
        <v>2028</v>
      </c>
      <c r="C145" t="s">
        <v>9</v>
      </c>
      <c r="D145" t="s">
        <v>269</v>
      </c>
      <c r="E145" t="s">
        <v>16</v>
      </c>
      <c r="F145">
        <v>4.5307606098828286</v>
      </c>
      <c r="G145">
        <v>11928.91698947437</v>
      </c>
      <c r="H145" t="s">
        <v>26</v>
      </c>
    </row>
    <row r="146" spans="1:8" x14ac:dyDescent="0.35">
      <c r="A146" t="s">
        <v>268</v>
      </c>
      <c r="B146">
        <v>2040</v>
      </c>
      <c r="C146" t="s">
        <v>269</v>
      </c>
      <c r="D146" t="s">
        <v>270</v>
      </c>
      <c r="E146" t="s">
        <v>11</v>
      </c>
      <c r="F146">
        <v>0.99650126265326211</v>
      </c>
      <c r="G146">
        <v>3738.2787459984302</v>
      </c>
      <c r="H146" t="s">
        <v>26</v>
      </c>
    </row>
    <row r="147" spans="1:8" x14ac:dyDescent="0.35">
      <c r="A147" t="s">
        <v>268</v>
      </c>
      <c r="B147">
        <v>2046</v>
      </c>
      <c r="C147" t="s">
        <v>270</v>
      </c>
      <c r="D147" t="s">
        <v>271</v>
      </c>
      <c r="E147" t="s">
        <v>57</v>
      </c>
      <c r="F147">
        <v>1.8587263017232301</v>
      </c>
      <c r="G147">
        <v>67289.01742797179</v>
      </c>
      <c r="H147" t="s">
        <v>26</v>
      </c>
    </row>
    <row r="148" spans="1:8" x14ac:dyDescent="0.35">
      <c r="A148" t="s">
        <v>272</v>
      </c>
      <c r="B148">
        <v>2028</v>
      </c>
      <c r="C148" t="s">
        <v>9</v>
      </c>
      <c r="D148" t="s">
        <v>273</v>
      </c>
      <c r="E148" t="s">
        <v>45</v>
      </c>
      <c r="F148">
        <v>72.393400000000014</v>
      </c>
      <c r="G148">
        <v>123709.6</v>
      </c>
      <c r="H148" t="s">
        <v>12</v>
      </c>
    </row>
    <row r="149" spans="1:8" x14ac:dyDescent="0.35">
      <c r="A149" t="s">
        <v>272</v>
      </c>
      <c r="B149">
        <v>2031</v>
      </c>
      <c r="C149" t="s">
        <v>273</v>
      </c>
      <c r="D149" t="s">
        <v>274</v>
      </c>
      <c r="E149" t="s">
        <v>18</v>
      </c>
      <c r="F149">
        <v>11.0436</v>
      </c>
      <c r="G149">
        <v>134640</v>
      </c>
      <c r="H149" t="s">
        <v>12</v>
      </c>
    </row>
    <row r="150" spans="1:8" x14ac:dyDescent="0.35">
      <c r="A150" t="s">
        <v>275</v>
      </c>
      <c r="B150">
        <v>2027</v>
      </c>
      <c r="C150" t="s">
        <v>9</v>
      </c>
      <c r="D150" t="s">
        <v>276</v>
      </c>
      <c r="E150" t="s">
        <v>138</v>
      </c>
      <c r="F150">
        <v>55.367043162168223</v>
      </c>
      <c r="G150">
        <v>166915.41610680911</v>
      </c>
      <c r="H150" t="s">
        <v>12</v>
      </c>
    </row>
    <row r="151" spans="1:8" x14ac:dyDescent="0.35">
      <c r="A151" t="s">
        <v>275</v>
      </c>
      <c r="B151">
        <v>2039</v>
      </c>
      <c r="C151" t="s">
        <v>276</v>
      </c>
      <c r="D151" t="s">
        <v>277</v>
      </c>
      <c r="E151" t="s">
        <v>14</v>
      </c>
      <c r="F151">
        <v>33.724839340295198</v>
      </c>
      <c r="G151">
        <v>179793.75811916459</v>
      </c>
      <c r="H151" t="s">
        <v>12</v>
      </c>
    </row>
    <row r="152" spans="1:8" x14ac:dyDescent="0.35">
      <c r="A152" t="s">
        <v>275</v>
      </c>
      <c r="B152">
        <v>2043</v>
      </c>
      <c r="C152" t="s">
        <v>277</v>
      </c>
      <c r="D152" t="s">
        <v>278</v>
      </c>
      <c r="E152" t="s">
        <v>18</v>
      </c>
      <c r="F152">
        <v>6.2393114062221002</v>
      </c>
      <c r="G152">
        <v>194197.58348691001</v>
      </c>
      <c r="H152" t="s">
        <v>12</v>
      </c>
    </row>
    <row r="153" spans="1:8" x14ac:dyDescent="0.35">
      <c r="A153" t="s">
        <v>279</v>
      </c>
      <c r="B153">
        <v>2029</v>
      </c>
      <c r="C153" t="s">
        <v>9</v>
      </c>
      <c r="D153" t="s">
        <v>280</v>
      </c>
      <c r="E153" t="s">
        <v>11</v>
      </c>
      <c r="F153">
        <v>10.162629999999989</v>
      </c>
      <c r="G153">
        <v>21960</v>
      </c>
      <c r="H153" t="s">
        <v>12</v>
      </c>
    </row>
    <row r="154" spans="1:8" x14ac:dyDescent="0.35">
      <c r="A154" t="s">
        <v>279</v>
      </c>
      <c r="B154">
        <v>2036</v>
      </c>
      <c r="C154" t="s">
        <v>280</v>
      </c>
      <c r="D154" t="s">
        <v>281</v>
      </c>
      <c r="E154" t="s">
        <v>14</v>
      </c>
      <c r="F154">
        <v>7.9973500000000124</v>
      </c>
      <c r="G154">
        <v>54879.06</v>
      </c>
      <c r="H154" t="s">
        <v>12</v>
      </c>
    </row>
    <row r="155" spans="1:8" x14ac:dyDescent="0.35">
      <c r="A155" t="s">
        <v>279</v>
      </c>
      <c r="B155">
        <v>2039</v>
      </c>
      <c r="C155" t="s">
        <v>281</v>
      </c>
      <c r="D155" t="s">
        <v>282</v>
      </c>
      <c r="E155" t="s">
        <v>18</v>
      </c>
      <c r="F155">
        <v>8.0698099999999897</v>
      </c>
      <c r="G155">
        <v>80520.040000000008</v>
      </c>
      <c r="H155" t="s">
        <v>12</v>
      </c>
    </row>
    <row r="156" spans="1:8" x14ac:dyDescent="0.35">
      <c r="A156" t="s">
        <v>283</v>
      </c>
      <c r="B156">
        <v>2035</v>
      </c>
      <c r="C156" t="s">
        <v>9</v>
      </c>
      <c r="D156" t="s">
        <v>284</v>
      </c>
      <c r="E156" t="s">
        <v>11</v>
      </c>
      <c r="F156">
        <v>5.4219599999999986</v>
      </c>
      <c r="G156">
        <v>37831.449999999997</v>
      </c>
      <c r="H156" t="s">
        <v>12</v>
      </c>
    </row>
    <row r="157" spans="1:8" x14ac:dyDescent="0.35">
      <c r="A157" t="s">
        <v>283</v>
      </c>
      <c r="B157">
        <v>2047</v>
      </c>
      <c r="C157" t="s">
        <v>284</v>
      </c>
      <c r="D157" t="s">
        <v>285</v>
      </c>
      <c r="E157" t="s">
        <v>131</v>
      </c>
      <c r="F157">
        <v>8.2250380000000014</v>
      </c>
      <c r="G157">
        <v>374918.95</v>
      </c>
      <c r="H157" t="s">
        <v>12</v>
      </c>
    </row>
    <row r="158" spans="1:8" x14ac:dyDescent="0.35">
      <c r="A158" t="s">
        <v>286</v>
      </c>
      <c r="B158">
        <v>2026</v>
      </c>
      <c r="C158" t="s">
        <v>9</v>
      </c>
      <c r="D158" t="s">
        <v>287</v>
      </c>
      <c r="E158" t="s">
        <v>61</v>
      </c>
      <c r="F158">
        <v>10.524590706516619</v>
      </c>
      <c r="G158">
        <v>21250</v>
      </c>
      <c r="H158" t="s">
        <v>26</v>
      </c>
    </row>
    <row r="159" spans="1:8" x14ac:dyDescent="0.35">
      <c r="A159" t="s">
        <v>286</v>
      </c>
      <c r="B159">
        <v>2028</v>
      </c>
      <c r="C159" t="s">
        <v>287</v>
      </c>
      <c r="D159" t="s">
        <v>288</v>
      </c>
      <c r="E159" t="s">
        <v>11</v>
      </c>
      <c r="F159">
        <v>40.350659988379192</v>
      </c>
      <c r="G159">
        <v>48034.200000000012</v>
      </c>
      <c r="H159" t="s">
        <v>26</v>
      </c>
    </row>
    <row r="160" spans="1:8" x14ac:dyDescent="0.35">
      <c r="A160" t="s">
        <v>286</v>
      </c>
      <c r="B160">
        <v>2049</v>
      </c>
      <c r="C160" t="s">
        <v>288</v>
      </c>
      <c r="D160" t="s">
        <v>289</v>
      </c>
      <c r="E160" t="s">
        <v>57</v>
      </c>
      <c r="F160">
        <v>3.9527877778783491</v>
      </c>
      <c r="G160">
        <v>216153.9</v>
      </c>
      <c r="H160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2"/>
  <sheetViews>
    <sheetView workbookViewId="0">
      <selection sqref="A1:Z72"/>
    </sheetView>
  </sheetViews>
  <sheetFormatPr baseColWidth="10" defaultColWidth="8.7265625" defaultRowHeight="14.5" x14ac:dyDescent="0.35"/>
  <cols>
    <col min="1" max="1" width="58.1796875" bestFit="1" customWidth="1"/>
    <col min="2" max="2" width="37.26953125" bestFit="1" customWidth="1"/>
    <col min="3" max="4" width="69.90625" bestFit="1" customWidth="1"/>
    <col min="5" max="5" width="38.90625" bestFit="1" customWidth="1"/>
    <col min="6" max="6" width="42.6328125" bestFit="1" customWidth="1"/>
    <col min="7" max="7" width="32.6328125" bestFit="1" customWidth="1"/>
    <col min="8" max="8" width="40.6328125" bestFit="1" customWidth="1"/>
    <col min="9" max="9" width="25.453125" bestFit="1" customWidth="1"/>
    <col min="10" max="10" width="39.26953125" bestFit="1" customWidth="1"/>
    <col min="11" max="11" width="28.81640625" bestFit="1" customWidth="1"/>
    <col min="12" max="12" width="34.453125" bestFit="1" customWidth="1"/>
    <col min="13" max="13" width="69.90625" bestFit="1" customWidth="1"/>
    <col min="14" max="14" width="45.7265625" bestFit="1" customWidth="1"/>
    <col min="15" max="15" width="46" bestFit="1" customWidth="1"/>
    <col min="16" max="16" width="69.90625" bestFit="1" customWidth="1"/>
    <col min="17" max="17" width="23.7265625" bestFit="1" customWidth="1"/>
    <col min="18" max="18" width="46.81640625" bestFit="1" customWidth="1"/>
    <col min="19" max="19" width="47.08984375" bestFit="1" customWidth="1"/>
    <col min="20" max="20" width="42.6328125" bestFit="1" customWidth="1"/>
    <col min="21" max="21" width="59.26953125" bestFit="1" customWidth="1"/>
    <col min="22" max="22" width="41.36328125" bestFit="1" customWidth="1"/>
    <col min="23" max="23" width="38" bestFit="1" customWidth="1"/>
    <col min="24" max="24" width="42.90625" bestFit="1" customWidth="1"/>
    <col min="25" max="25" width="40.26953125" bestFit="1" customWidth="1"/>
    <col min="26" max="26" width="47.54296875" bestFit="1" customWidth="1"/>
  </cols>
  <sheetData>
    <row r="1" spans="1:26" x14ac:dyDescent="0.35">
      <c r="A1" s="1" t="s">
        <v>0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  <c r="G1" s="1">
        <v>2031</v>
      </c>
      <c r="H1" s="1">
        <v>2032</v>
      </c>
      <c r="I1" s="1">
        <v>2033</v>
      </c>
      <c r="J1" s="1">
        <v>2034</v>
      </c>
      <c r="K1" s="1">
        <v>2035</v>
      </c>
      <c r="L1" s="1">
        <v>2036</v>
      </c>
      <c r="M1" s="1">
        <v>2037</v>
      </c>
      <c r="N1" s="1">
        <v>2038</v>
      </c>
      <c r="O1" s="1">
        <v>2039</v>
      </c>
      <c r="P1" s="1">
        <v>2040</v>
      </c>
      <c r="Q1" s="1">
        <v>2041</v>
      </c>
      <c r="R1" s="1">
        <v>2042</v>
      </c>
      <c r="S1" s="1">
        <v>2043</v>
      </c>
      <c r="T1" s="1">
        <v>2044</v>
      </c>
      <c r="U1" s="1">
        <v>2045</v>
      </c>
      <c r="V1" s="1">
        <v>2046</v>
      </c>
      <c r="W1" s="1">
        <v>2047</v>
      </c>
      <c r="X1" s="1">
        <v>2048</v>
      </c>
      <c r="Y1" s="1">
        <v>2049</v>
      </c>
      <c r="Z1" s="1">
        <v>2050</v>
      </c>
    </row>
    <row r="2" spans="1:26" x14ac:dyDescent="0.35">
      <c r="A2" s="1" t="s">
        <v>8</v>
      </c>
      <c r="D2" t="s">
        <v>10</v>
      </c>
      <c r="O2" t="s">
        <v>13</v>
      </c>
      <c r="P2" t="s">
        <v>15</v>
      </c>
      <c r="T2" t="s">
        <v>17</v>
      </c>
    </row>
    <row r="3" spans="1:26" x14ac:dyDescent="0.35">
      <c r="A3" s="1" t="s">
        <v>19</v>
      </c>
      <c r="S3" t="s">
        <v>20</v>
      </c>
      <c r="Z3" t="s">
        <v>22</v>
      </c>
    </row>
    <row r="4" spans="1:26" x14ac:dyDescent="0.35">
      <c r="A4" s="1" t="s">
        <v>24</v>
      </c>
      <c r="H4" t="s">
        <v>25</v>
      </c>
      <c r="W4" t="s">
        <v>27</v>
      </c>
    </row>
    <row r="5" spans="1:26" x14ac:dyDescent="0.35">
      <c r="A5" s="1" t="s">
        <v>29</v>
      </c>
      <c r="B5" t="s">
        <v>30</v>
      </c>
      <c r="S5" t="s">
        <v>33</v>
      </c>
    </row>
    <row r="6" spans="1:26" x14ac:dyDescent="0.35">
      <c r="A6" s="1" t="s">
        <v>34</v>
      </c>
      <c r="D6" t="s">
        <v>35</v>
      </c>
      <c r="G6" t="s">
        <v>37</v>
      </c>
    </row>
    <row r="7" spans="1:26" x14ac:dyDescent="0.35">
      <c r="A7" s="1" t="s">
        <v>38</v>
      </c>
      <c r="H7" t="s">
        <v>39</v>
      </c>
      <c r="Z7" t="s">
        <v>40</v>
      </c>
    </row>
    <row r="8" spans="1:26" x14ac:dyDescent="0.35">
      <c r="A8" s="1" t="s">
        <v>41</v>
      </c>
      <c r="N8" t="s">
        <v>42</v>
      </c>
      <c r="O8" t="s">
        <v>44</v>
      </c>
    </row>
    <row r="9" spans="1:26" x14ac:dyDescent="0.35">
      <c r="A9" s="1" t="s">
        <v>46</v>
      </c>
      <c r="E9" t="s">
        <v>47</v>
      </c>
      <c r="P9" t="s">
        <v>48</v>
      </c>
      <c r="Y9" t="s">
        <v>49</v>
      </c>
    </row>
    <row r="10" spans="1:26" x14ac:dyDescent="0.35">
      <c r="A10" s="1" t="s">
        <v>50</v>
      </c>
      <c r="H10" t="s">
        <v>51</v>
      </c>
    </row>
    <row r="11" spans="1:26" x14ac:dyDescent="0.35">
      <c r="A11" s="1" t="s">
        <v>52</v>
      </c>
      <c r="P11" t="s">
        <v>53</v>
      </c>
      <c r="W11" t="s">
        <v>55</v>
      </c>
      <c r="X11" t="s">
        <v>56</v>
      </c>
    </row>
    <row r="12" spans="1:26" x14ac:dyDescent="0.35">
      <c r="A12" s="1" t="s">
        <v>58</v>
      </c>
      <c r="B12" t="s">
        <v>59</v>
      </c>
      <c r="K12" t="s">
        <v>60</v>
      </c>
      <c r="N12" t="s">
        <v>62</v>
      </c>
    </row>
    <row r="13" spans="1:26" x14ac:dyDescent="0.35">
      <c r="A13" s="1" t="s">
        <v>64</v>
      </c>
      <c r="D13" t="s">
        <v>65</v>
      </c>
      <c r="V13" t="s">
        <v>67</v>
      </c>
    </row>
    <row r="14" spans="1:26" x14ac:dyDescent="0.35">
      <c r="A14" s="1" t="s">
        <v>68</v>
      </c>
      <c r="R14" t="s">
        <v>69</v>
      </c>
    </row>
    <row r="15" spans="1:26" x14ac:dyDescent="0.35">
      <c r="A15" s="1" t="s">
        <v>70</v>
      </c>
      <c r="C15" t="s">
        <v>71</v>
      </c>
      <c r="J15" t="s">
        <v>73</v>
      </c>
      <c r="Y15" t="s">
        <v>74</v>
      </c>
    </row>
    <row r="16" spans="1:26" x14ac:dyDescent="0.35">
      <c r="A16" s="1" t="s">
        <v>75</v>
      </c>
      <c r="U16" t="s">
        <v>76</v>
      </c>
      <c r="X16" t="s">
        <v>77</v>
      </c>
    </row>
    <row r="17" spans="1:26" x14ac:dyDescent="0.35">
      <c r="A17" s="1" t="s">
        <v>78</v>
      </c>
      <c r="B17" t="s">
        <v>79</v>
      </c>
      <c r="O17" t="s">
        <v>80</v>
      </c>
      <c r="Z17" t="s">
        <v>81</v>
      </c>
    </row>
    <row r="18" spans="1:26" x14ac:dyDescent="0.35">
      <c r="A18" s="1" t="s">
        <v>83</v>
      </c>
      <c r="C18" t="s">
        <v>84</v>
      </c>
      <c r="D18" t="s">
        <v>85</v>
      </c>
      <c r="M18" t="s">
        <v>86</v>
      </c>
      <c r="P18" t="s">
        <v>87</v>
      </c>
    </row>
    <row r="19" spans="1:26" x14ac:dyDescent="0.35">
      <c r="A19" s="1" t="s">
        <v>88</v>
      </c>
      <c r="E19" t="s">
        <v>89</v>
      </c>
      <c r="T19" t="s">
        <v>90</v>
      </c>
    </row>
    <row r="20" spans="1:26" x14ac:dyDescent="0.35">
      <c r="A20" s="1" t="s">
        <v>92</v>
      </c>
      <c r="B20" t="s">
        <v>93</v>
      </c>
      <c r="X20" t="s">
        <v>94</v>
      </c>
      <c r="Y20" t="s">
        <v>96</v>
      </c>
    </row>
    <row r="21" spans="1:26" x14ac:dyDescent="0.35">
      <c r="A21" s="1" t="s">
        <v>97</v>
      </c>
      <c r="D21" t="s">
        <v>98</v>
      </c>
      <c r="J21" t="s">
        <v>99</v>
      </c>
      <c r="U21" t="s">
        <v>100</v>
      </c>
    </row>
    <row r="22" spans="1:26" x14ac:dyDescent="0.35">
      <c r="A22" s="1" t="s">
        <v>101</v>
      </c>
      <c r="L22" t="s">
        <v>102</v>
      </c>
      <c r="Z22" t="s">
        <v>103</v>
      </c>
    </row>
    <row r="23" spans="1:26" x14ac:dyDescent="0.35">
      <c r="A23" s="1" t="s">
        <v>105</v>
      </c>
      <c r="M23" t="s">
        <v>106</v>
      </c>
    </row>
    <row r="24" spans="1:26" x14ac:dyDescent="0.35">
      <c r="A24" s="1" t="s">
        <v>107</v>
      </c>
      <c r="F24" t="s">
        <v>108</v>
      </c>
      <c r="T24" t="s">
        <v>110</v>
      </c>
    </row>
    <row r="25" spans="1:26" x14ac:dyDescent="0.35">
      <c r="A25" s="1" t="s">
        <v>111</v>
      </c>
      <c r="C25" t="s">
        <v>112</v>
      </c>
    </row>
    <row r="26" spans="1:26" x14ac:dyDescent="0.35">
      <c r="A26" s="1" t="s">
        <v>114</v>
      </c>
      <c r="E26" t="s">
        <v>115</v>
      </c>
    </row>
    <row r="27" spans="1:26" x14ac:dyDescent="0.35">
      <c r="A27" s="1" t="s">
        <v>117</v>
      </c>
      <c r="D27" t="s">
        <v>118</v>
      </c>
    </row>
    <row r="28" spans="1:26" x14ac:dyDescent="0.35">
      <c r="A28" s="1" t="s">
        <v>120</v>
      </c>
      <c r="F28" t="s">
        <v>121</v>
      </c>
      <c r="X28" t="s">
        <v>123</v>
      </c>
    </row>
    <row r="29" spans="1:26" x14ac:dyDescent="0.35">
      <c r="A29" s="1" t="s">
        <v>124</v>
      </c>
      <c r="C29" t="s">
        <v>125</v>
      </c>
      <c r="K29" t="s">
        <v>126</v>
      </c>
    </row>
    <row r="30" spans="1:26" x14ac:dyDescent="0.35">
      <c r="A30" s="1" t="s">
        <v>128</v>
      </c>
      <c r="E30" t="s">
        <v>129</v>
      </c>
      <c r="N30" t="s">
        <v>130</v>
      </c>
    </row>
    <row r="31" spans="1:26" x14ac:dyDescent="0.35">
      <c r="A31" s="1" t="s">
        <v>132</v>
      </c>
      <c r="E31" t="s">
        <v>133</v>
      </c>
      <c r="O31" t="s">
        <v>134</v>
      </c>
    </row>
    <row r="32" spans="1:26" x14ac:dyDescent="0.35">
      <c r="A32" s="1" t="s">
        <v>136</v>
      </c>
      <c r="H32" t="s">
        <v>137</v>
      </c>
      <c r="S32" t="s">
        <v>139</v>
      </c>
    </row>
    <row r="33" spans="1:26" x14ac:dyDescent="0.35">
      <c r="A33" s="1" t="s">
        <v>140</v>
      </c>
      <c r="F33" t="s">
        <v>141</v>
      </c>
      <c r="J33" t="s">
        <v>142</v>
      </c>
    </row>
    <row r="34" spans="1:26" x14ac:dyDescent="0.35">
      <c r="A34" s="1" t="s">
        <v>144</v>
      </c>
      <c r="E34" t="s">
        <v>145</v>
      </c>
      <c r="I34" t="s">
        <v>146</v>
      </c>
    </row>
    <row r="35" spans="1:26" x14ac:dyDescent="0.35">
      <c r="A35" s="1" t="s">
        <v>147</v>
      </c>
      <c r="K35" t="s">
        <v>148</v>
      </c>
      <c r="Q35" t="s">
        <v>149</v>
      </c>
      <c r="W35" t="s">
        <v>150</v>
      </c>
    </row>
    <row r="36" spans="1:26" x14ac:dyDescent="0.35">
      <c r="A36" s="1" t="s">
        <v>151</v>
      </c>
      <c r="F36" t="s">
        <v>152</v>
      </c>
      <c r="L36" t="s">
        <v>153</v>
      </c>
      <c r="O36" t="s">
        <v>155</v>
      </c>
    </row>
    <row r="37" spans="1:26" x14ac:dyDescent="0.35">
      <c r="A37" s="1" t="s">
        <v>156</v>
      </c>
      <c r="B37" t="s">
        <v>157</v>
      </c>
      <c r="C37" t="s">
        <v>158</v>
      </c>
      <c r="V37" t="s">
        <v>160</v>
      </c>
    </row>
    <row r="38" spans="1:26" x14ac:dyDescent="0.35">
      <c r="A38" s="1" t="s">
        <v>161</v>
      </c>
      <c r="D38" t="s">
        <v>162</v>
      </c>
      <c r="I38" t="s">
        <v>163</v>
      </c>
    </row>
    <row r="39" spans="1:26" x14ac:dyDescent="0.35">
      <c r="A39" s="1" t="s">
        <v>165</v>
      </c>
      <c r="F39" t="s">
        <v>166</v>
      </c>
      <c r="J39" t="s">
        <v>167</v>
      </c>
    </row>
    <row r="40" spans="1:26" x14ac:dyDescent="0.35">
      <c r="A40" s="1" t="s">
        <v>168</v>
      </c>
      <c r="C40" t="s">
        <v>169</v>
      </c>
      <c r="G40" t="s">
        <v>170</v>
      </c>
      <c r="W40" t="s">
        <v>172</v>
      </c>
    </row>
    <row r="41" spans="1:26" x14ac:dyDescent="0.35">
      <c r="A41" s="1" t="s">
        <v>173</v>
      </c>
      <c r="D41" t="s">
        <v>174</v>
      </c>
      <c r="P41" t="s">
        <v>175</v>
      </c>
    </row>
    <row r="42" spans="1:26" x14ac:dyDescent="0.35">
      <c r="A42" s="1" t="s">
        <v>177</v>
      </c>
      <c r="D42" t="s">
        <v>178</v>
      </c>
      <c r="G42" t="s">
        <v>179</v>
      </c>
    </row>
    <row r="43" spans="1:26" x14ac:dyDescent="0.35">
      <c r="A43" s="1" t="s">
        <v>181</v>
      </c>
      <c r="F43" t="s">
        <v>182</v>
      </c>
      <c r="T43" t="s">
        <v>184</v>
      </c>
    </row>
    <row r="44" spans="1:26" x14ac:dyDescent="0.35">
      <c r="A44" s="1" t="s">
        <v>185</v>
      </c>
      <c r="C44" t="s">
        <v>186</v>
      </c>
      <c r="R44" t="s">
        <v>187</v>
      </c>
    </row>
    <row r="45" spans="1:26" x14ac:dyDescent="0.35">
      <c r="A45" s="1" t="s">
        <v>188</v>
      </c>
      <c r="U45" t="s">
        <v>189</v>
      </c>
    </row>
    <row r="46" spans="1:26" x14ac:dyDescent="0.35">
      <c r="A46" s="1" t="s">
        <v>190</v>
      </c>
      <c r="E46" t="s">
        <v>191</v>
      </c>
      <c r="Z46" t="s">
        <v>192</v>
      </c>
    </row>
    <row r="47" spans="1:26" x14ac:dyDescent="0.35">
      <c r="A47" s="1" t="s">
        <v>194</v>
      </c>
      <c r="C47" t="s">
        <v>195</v>
      </c>
      <c r="S47" t="s">
        <v>196</v>
      </c>
    </row>
    <row r="48" spans="1:26" x14ac:dyDescent="0.35">
      <c r="A48" s="1" t="s">
        <v>197</v>
      </c>
      <c r="B48" t="s">
        <v>198</v>
      </c>
      <c r="H48" t="s">
        <v>199</v>
      </c>
      <c r="J48" t="s">
        <v>200</v>
      </c>
    </row>
    <row r="49" spans="1:26" x14ac:dyDescent="0.35">
      <c r="A49" s="1" t="s">
        <v>201</v>
      </c>
      <c r="B49" t="s">
        <v>202</v>
      </c>
      <c r="H49" t="s">
        <v>203</v>
      </c>
    </row>
    <row r="50" spans="1:26" x14ac:dyDescent="0.35">
      <c r="A50" s="1" t="s">
        <v>204</v>
      </c>
      <c r="D50" t="s">
        <v>205</v>
      </c>
      <c r="F50" t="s">
        <v>206</v>
      </c>
      <c r="L50" t="s">
        <v>207</v>
      </c>
    </row>
    <row r="51" spans="1:26" x14ac:dyDescent="0.35">
      <c r="A51" s="1" t="s">
        <v>208</v>
      </c>
      <c r="O51" t="s">
        <v>209</v>
      </c>
      <c r="X51" t="s">
        <v>210</v>
      </c>
    </row>
    <row r="52" spans="1:26" x14ac:dyDescent="0.35">
      <c r="A52" s="1" t="s">
        <v>211</v>
      </c>
      <c r="C52" t="s">
        <v>212</v>
      </c>
      <c r="J52" t="s">
        <v>213</v>
      </c>
    </row>
    <row r="53" spans="1:26" x14ac:dyDescent="0.35">
      <c r="A53" s="1" t="s">
        <v>215</v>
      </c>
      <c r="C53" t="s">
        <v>216</v>
      </c>
      <c r="N53" t="s">
        <v>217</v>
      </c>
      <c r="R53" t="s">
        <v>218</v>
      </c>
    </row>
    <row r="54" spans="1:26" x14ac:dyDescent="0.35">
      <c r="A54" s="1" t="s">
        <v>219</v>
      </c>
      <c r="U54" t="s">
        <v>220</v>
      </c>
      <c r="X54" t="s">
        <v>221</v>
      </c>
    </row>
    <row r="55" spans="1:26" x14ac:dyDescent="0.35">
      <c r="A55" s="1" t="s">
        <v>223</v>
      </c>
      <c r="X55" t="s">
        <v>224</v>
      </c>
      <c r="Y55" t="s">
        <v>226</v>
      </c>
    </row>
    <row r="56" spans="1:26" x14ac:dyDescent="0.35">
      <c r="A56" s="1" t="s">
        <v>227</v>
      </c>
      <c r="M56" t="s">
        <v>228</v>
      </c>
      <c r="Y56" t="s">
        <v>229</v>
      </c>
    </row>
    <row r="57" spans="1:26" x14ac:dyDescent="0.35">
      <c r="A57" s="1" t="s">
        <v>230</v>
      </c>
      <c r="M57" t="s">
        <v>231</v>
      </c>
      <c r="P57" t="s">
        <v>232</v>
      </c>
      <c r="Z57" t="s">
        <v>233</v>
      </c>
    </row>
    <row r="58" spans="1:26" x14ac:dyDescent="0.35">
      <c r="A58" s="1" t="s">
        <v>234</v>
      </c>
      <c r="M58" t="s">
        <v>235</v>
      </c>
      <c r="V58" t="s">
        <v>236</v>
      </c>
    </row>
    <row r="59" spans="1:26" x14ac:dyDescent="0.35">
      <c r="A59" s="1" t="s">
        <v>237</v>
      </c>
      <c r="C59" t="s">
        <v>238</v>
      </c>
      <c r="Z59" t="s">
        <v>239</v>
      </c>
    </row>
    <row r="60" spans="1:26" x14ac:dyDescent="0.35">
      <c r="A60" s="1" t="s">
        <v>241</v>
      </c>
      <c r="U60" t="s">
        <v>242</v>
      </c>
    </row>
    <row r="61" spans="1:26" x14ac:dyDescent="0.35">
      <c r="A61" s="1" t="s">
        <v>244</v>
      </c>
      <c r="D61" t="s">
        <v>245</v>
      </c>
      <c r="N61" t="s">
        <v>246</v>
      </c>
    </row>
    <row r="62" spans="1:26" x14ac:dyDescent="0.35">
      <c r="A62" s="1" t="s">
        <v>248</v>
      </c>
      <c r="P62" t="s">
        <v>249</v>
      </c>
      <c r="R62" t="s">
        <v>250</v>
      </c>
    </row>
    <row r="63" spans="1:26" x14ac:dyDescent="0.35">
      <c r="A63" s="1" t="s">
        <v>252</v>
      </c>
      <c r="E63" t="s">
        <v>253</v>
      </c>
      <c r="M63" t="s">
        <v>254</v>
      </c>
      <c r="P63" t="s">
        <v>256</v>
      </c>
    </row>
    <row r="64" spans="1:26" x14ac:dyDescent="0.35">
      <c r="A64" s="1" t="s">
        <v>257</v>
      </c>
      <c r="L64" t="s">
        <v>258</v>
      </c>
      <c r="P64" t="s">
        <v>260</v>
      </c>
    </row>
    <row r="65" spans="1:25" x14ac:dyDescent="0.35">
      <c r="A65" s="1" t="s">
        <v>261</v>
      </c>
      <c r="C65" t="s">
        <v>262</v>
      </c>
      <c r="E65" t="s">
        <v>263</v>
      </c>
      <c r="O65" t="s">
        <v>264</v>
      </c>
    </row>
    <row r="66" spans="1:25" x14ac:dyDescent="0.35">
      <c r="A66" s="1" t="s">
        <v>265</v>
      </c>
      <c r="F66" t="s">
        <v>266</v>
      </c>
      <c r="L66" t="s">
        <v>267</v>
      </c>
    </row>
    <row r="67" spans="1:25" x14ac:dyDescent="0.35">
      <c r="A67" s="1" t="s">
        <v>268</v>
      </c>
      <c r="D67" t="s">
        <v>269</v>
      </c>
      <c r="P67" t="s">
        <v>270</v>
      </c>
      <c r="V67" t="s">
        <v>271</v>
      </c>
    </row>
    <row r="68" spans="1:25" x14ac:dyDescent="0.35">
      <c r="A68" s="1" t="s">
        <v>272</v>
      </c>
      <c r="D68" t="s">
        <v>273</v>
      </c>
      <c r="G68" t="s">
        <v>274</v>
      </c>
    </row>
    <row r="69" spans="1:25" x14ac:dyDescent="0.35">
      <c r="A69" s="1" t="s">
        <v>275</v>
      </c>
      <c r="C69" t="s">
        <v>276</v>
      </c>
      <c r="O69" t="s">
        <v>277</v>
      </c>
      <c r="S69" t="s">
        <v>278</v>
      </c>
    </row>
    <row r="70" spans="1:25" x14ac:dyDescent="0.35">
      <c r="A70" s="1" t="s">
        <v>279</v>
      </c>
      <c r="E70" t="s">
        <v>280</v>
      </c>
      <c r="L70" t="s">
        <v>281</v>
      </c>
      <c r="O70" t="s">
        <v>282</v>
      </c>
    </row>
    <row r="71" spans="1:25" x14ac:dyDescent="0.35">
      <c r="A71" s="1" t="s">
        <v>283</v>
      </c>
      <c r="K71" t="s">
        <v>284</v>
      </c>
      <c r="W71" t="s">
        <v>285</v>
      </c>
    </row>
    <row r="72" spans="1:25" x14ac:dyDescent="0.35">
      <c r="A72" s="1" t="s">
        <v>286</v>
      </c>
      <c r="B72" t="s">
        <v>287</v>
      </c>
      <c r="D72" t="s">
        <v>288</v>
      </c>
      <c r="Y72" t="s">
        <v>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2"/>
  <sheetViews>
    <sheetView workbookViewId="0">
      <selection activeCell="B10" sqref="B10"/>
    </sheetView>
  </sheetViews>
  <sheetFormatPr baseColWidth="10" defaultColWidth="8.7265625" defaultRowHeight="14.5" x14ac:dyDescent="0.35"/>
  <cols>
    <col min="1" max="1" width="58.1796875" bestFit="1" customWidth="1"/>
    <col min="2" max="2" width="65.1796875" bestFit="1" customWidth="1"/>
    <col min="3" max="3" width="34.1796875" bestFit="1" customWidth="1"/>
    <col min="4" max="4" width="45.90625" bestFit="1" customWidth="1"/>
    <col min="5" max="5" width="78.453125" bestFit="1" customWidth="1"/>
    <col min="6" max="6" width="49.90625" bestFit="1" customWidth="1"/>
    <col min="7" max="7" width="52.6328125" bestFit="1" customWidth="1"/>
    <col min="8" max="8" width="49.90625" bestFit="1" customWidth="1"/>
    <col min="9" max="9" width="67.90625" bestFit="1" customWidth="1"/>
    <col min="10" max="10" width="48.36328125" bestFit="1" customWidth="1"/>
    <col min="11" max="11" width="57.90625" bestFit="1" customWidth="1"/>
    <col min="12" max="12" width="47.453125" bestFit="1" customWidth="1"/>
    <col min="13" max="13" width="45.90625" bestFit="1" customWidth="1"/>
    <col min="14" max="14" width="71.54296875" bestFit="1" customWidth="1"/>
    <col min="15" max="15" width="68.36328125" bestFit="1" customWidth="1"/>
    <col min="16" max="16" width="37.6328125" bestFit="1" customWidth="1"/>
    <col min="17" max="17" width="42.6328125" bestFit="1" customWidth="1"/>
    <col min="18" max="18" width="54.6328125" bestFit="1" customWidth="1"/>
    <col min="19" max="19" width="37.90625" bestFit="1" customWidth="1"/>
    <col min="20" max="20" width="42.6328125" bestFit="1" customWidth="1"/>
    <col min="21" max="21" width="55.81640625" bestFit="1" customWidth="1"/>
    <col min="22" max="22" width="22.6328125" bestFit="1" customWidth="1"/>
    <col min="23" max="23" width="50.6328125" bestFit="1" customWidth="1"/>
    <col min="24" max="24" width="48.453125" bestFit="1" customWidth="1"/>
    <col min="25" max="25" width="28.1796875" bestFit="1" customWidth="1"/>
    <col min="26" max="26" width="56.90625" bestFit="1" customWidth="1"/>
  </cols>
  <sheetData>
    <row r="1" spans="1:26" x14ac:dyDescent="0.35">
      <c r="A1" s="1" t="s">
        <v>0</v>
      </c>
      <c r="B1" s="1">
        <v>2026</v>
      </c>
      <c r="C1" s="1">
        <v>2027</v>
      </c>
      <c r="D1" s="1">
        <v>2028</v>
      </c>
      <c r="E1" s="1">
        <v>2029</v>
      </c>
      <c r="F1" s="1">
        <v>2030</v>
      </c>
      <c r="G1" s="1">
        <v>2031</v>
      </c>
      <c r="H1" s="1">
        <v>2032</v>
      </c>
      <c r="I1" s="1">
        <v>2033</v>
      </c>
      <c r="J1" s="1">
        <v>2034</v>
      </c>
      <c r="K1" s="1">
        <v>2035</v>
      </c>
      <c r="L1" s="1">
        <v>2036</v>
      </c>
      <c r="M1" s="1">
        <v>2037</v>
      </c>
      <c r="N1" s="1">
        <v>2038</v>
      </c>
      <c r="O1" s="1">
        <v>2039</v>
      </c>
      <c r="P1" s="1">
        <v>2040</v>
      </c>
      <c r="Q1" s="1">
        <v>2041</v>
      </c>
      <c r="R1" s="1">
        <v>2042</v>
      </c>
      <c r="S1" s="1">
        <v>2043</v>
      </c>
      <c r="T1" s="1">
        <v>2044</v>
      </c>
      <c r="U1" s="1">
        <v>2045</v>
      </c>
      <c r="V1" s="1">
        <v>2046</v>
      </c>
      <c r="W1" s="1">
        <v>2047</v>
      </c>
      <c r="X1" s="1">
        <v>2048</v>
      </c>
      <c r="Y1" s="1">
        <v>2049</v>
      </c>
      <c r="Z1" s="1">
        <v>2050</v>
      </c>
    </row>
    <row r="2" spans="1:26" x14ac:dyDescent="0.35">
      <c r="A2" s="1" t="s">
        <v>8</v>
      </c>
      <c r="D2" t="s">
        <v>11</v>
      </c>
      <c r="O2" t="s">
        <v>14</v>
      </c>
      <c r="P2" t="s">
        <v>16</v>
      </c>
      <c r="T2" t="s">
        <v>18</v>
      </c>
    </row>
    <row r="3" spans="1:26" x14ac:dyDescent="0.35">
      <c r="A3" s="1" t="s">
        <v>19</v>
      </c>
      <c r="S3" t="s">
        <v>14</v>
      </c>
      <c r="Z3" t="s">
        <v>23</v>
      </c>
    </row>
    <row r="4" spans="1:26" x14ac:dyDescent="0.35">
      <c r="A4" s="1" t="s">
        <v>24</v>
      </c>
      <c r="H4" t="s">
        <v>11</v>
      </c>
      <c r="W4" t="s">
        <v>28</v>
      </c>
    </row>
    <row r="5" spans="1:26" x14ac:dyDescent="0.35">
      <c r="A5" s="1" t="s">
        <v>29</v>
      </c>
      <c r="B5" t="s">
        <v>31</v>
      </c>
      <c r="S5" t="s">
        <v>18</v>
      </c>
    </row>
    <row r="6" spans="1:26" x14ac:dyDescent="0.35">
      <c r="A6" s="1" t="s">
        <v>34</v>
      </c>
      <c r="D6" t="s">
        <v>36</v>
      </c>
      <c r="G6" t="s">
        <v>14</v>
      </c>
    </row>
    <row r="7" spans="1:26" x14ac:dyDescent="0.35">
      <c r="A7" s="1" t="s">
        <v>38</v>
      </c>
      <c r="H7" t="s">
        <v>11</v>
      </c>
      <c r="Z7" t="s">
        <v>28</v>
      </c>
    </row>
    <row r="8" spans="1:26" x14ac:dyDescent="0.35">
      <c r="A8" s="1" t="s">
        <v>41</v>
      </c>
      <c r="N8" t="s">
        <v>43</v>
      </c>
      <c r="O8" t="s">
        <v>45</v>
      </c>
    </row>
    <row r="9" spans="1:26" x14ac:dyDescent="0.35">
      <c r="A9" s="1" t="s">
        <v>46</v>
      </c>
      <c r="E9" t="s">
        <v>11</v>
      </c>
      <c r="P9" t="s">
        <v>14</v>
      </c>
      <c r="Y9" t="s">
        <v>43</v>
      </c>
    </row>
    <row r="10" spans="1:26" x14ac:dyDescent="0.35">
      <c r="A10" s="1" t="s">
        <v>50</v>
      </c>
      <c r="H10" t="s">
        <v>16</v>
      </c>
    </row>
    <row r="11" spans="1:26" x14ac:dyDescent="0.35">
      <c r="A11" s="1" t="s">
        <v>52</v>
      </c>
      <c r="P11" t="s">
        <v>54</v>
      </c>
      <c r="W11" t="s">
        <v>14</v>
      </c>
      <c r="X11" t="s">
        <v>57</v>
      </c>
    </row>
    <row r="12" spans="1:26" x14ac:dyDescent="0.35">
      <c r="A12" s="1" t="s">
        <v>58</v>
      </c>
      <c r="B12" t="s">
        <v>11</v>
      </c>
      <c r="K12" t="s">
        <v>61</v>
      </c>
      <c r="N12" t="s">
        <v>63</v>
      </c>
    </row>
    <row r="13" spans="1:26" x14ac:dyDescent="0.35">
      <c r="A13" s="1" t="s">
        <v>64</v>
      </c>
      <c r="D13" t="s">
        <v>66</v>
      </c>
      <c r="V13" t="s">
        <v>57</v>
      </c>
    </row>
    <row r="14" spans="1:26" x14ac:dyDescent="0.35">
      <c r="A14" s="1" t="s">
        <v>68</v>
      </c>
      <c r="R14" t="s">
        <v>36</v>
      </c>
    </row>
    <row r="15" spans="1:26" x14ac:dyDescent="0.35">
      <c r="A15" s="1" t="s">
        <v>70</v>
      </c>
      <c r="C15" t="s">
        <v>72</v>
      </c>
      <c r="J15" t="s">
        <v>36</v>
      </c>
      <c r="Y15" t="s">
        <v>61</v>
      </c>
    </row>
    <row r="16" spans="1:26" x14ac:dyDescent="0.35">
      <c r="A16" s="1" t="s">
        <v>75</v>
      </c>
      <c r="U16" t="s">
        <v>11</v>
      </c>
      <c r="X16" t="s">
        <v>16</v>
      </c>
    </row>
    <row r="17" spans="1:26" x14ac:dyDescent="0.35">
      <c r="A17" s="1" t="s">
        <v>78</v>
      </c>
      <c r="B17" t="s">
        <v>11</v>
      </c>
      <c r="O17" t="s">
        <v>14</v>
      </c>
      <c r="Z17" t="s">
        <v>82</v>
      </c>
    </row>
    <row r="18" spans="1:26" x14ac:dyDescent="0.35">
      <c r="A18" s="1" t="s">
        <v>83</v>
      </c>
      <c r="C18" t="s">
        <v>61</v>
      </c>
      <c r="D18" t="s">
        <v>16</v>
      </c>
      <c r="M18" t="s">
        <v>11</v>
      </c>
      <c r="P18" t="s">
        <v>18</v>
      </c>
    </row>
    <row r="19" spans="1:26" x14ac:dyDescent="0.35">
      <c r="A19" s="1" t="s">
        <v>88</v>
      </c>
      <c r="E19" t="s">
        <v>72</v>
      </c>
      <c r="T19" t="s">
        <v>91</v>
      </c>
    </row>
    <row r="20" spans="1:26" x14ac:dyDescent="0.35">
      <c r="A20" s="1" t="s">
        <v>92</v>
      </c>
      <c r="B20" t="s">
        <v>72</v>
      </c>
      <c r="X20" t="s">
        <v>95</v>
      </c>
      <c r="Y20" t="s">
        <v>18</v>
      </c>
    </row>
    <row r="21" spans="1:26" x14ac:dyDescent="0.35">
      <c r="A21" s="1" t="s">
        <v>97</v>
      </c>
      <c r="D21" t="s">
        <v>11</v>
      </c>
      <c r="J21" t="s">
        <v>63</v>
      </c>
      <c r="U21" t="s">
        <v>61</v>
      </c>
    </row>
    <row r="22" spans="1:26" x14ac:dyDescent="0.35">
      <c r="A22" s="1" t="s">
        <v>101</v>
      </c>
      <c r="L22" t="s">
        <v>11</v>
      </c>
      <c r="Z22" t="s">
        <v>104</v>
      </c>
    </row>
    <row r="23" spans="1:26" x14ac:dyDescent="0.35">
      <c r="A23" s="1" t="s">
        <v>105</v>
      </c>
      <c r="M23" t="s">
        <v>18</v>
      </c>
    </row>
    <row r="24" spans="1:26" x14ac:dyDescent="0.35">
      <c r="A24" s="1" t="s">
        <v>107</v>
      </c>
      <c r="F24" t="s">
        <v>109</v>
      </c>
      <c r="T24" t="s">
        <v>82</v>
      </c>
    </row>
    <row r="25" spans="1:26" x14ac:dyDescent="0.35">
      <c r="A25" s="1" t="s">
        <v>111</v>
      </c>
      <c r="C25" t="s">
        <v>113</v>
      </c>
    </row>
    <row r="26" spans="1:26" x14ac:dyDescent="0.35">
      <c r="A26" s="1" t="s">
        <v>114</v>
      </c>
      <c r="E26" t="s">
        <v>116</v>
      </c>
    </row>
    <row r="27" spans="1:26" x14ac:dyDescent="0.35">
      <c r="A27" s="1" t="s">
        <v>117</v>
      </c>
      <c r="D27" t="s">
        <v>119</v>
      </c>
    </row>
    <row r="28" spans="1:26" x14ac:dyDescent="0.35">
      <c r="A28" s="1" t="s">
        <v>120</v>
      </c>
      <c r="F28" t="s">
        <v>122</v>
      </c>
      <c r="X28" t="s">
        <v>82</v>
      </c>
    </row>
    <row r="29" spans="1:26" x14ac:dyDescent="0.35">
      <c r="A29" s="1" t="s">
        <v>124</v>
      </c>
      <c r="C29" t="s">
        <v>72</v>
      </c>
      <c r="K29" t="s">
        <v>127</v>
      </c>
    </row>
    <row r="30" spans="1:26" x14ac:dyDescent="0.35">
      <c r="A30" s="1" t="s">
        <v>128</v>
      </c>
      <c r="E30" t="s">
        <v>11</v>
      </c>
      <c r="N30" t="s">
        <v>131</v>
      </c>
    </row>
    <row r="31" spans="1:26" x14ac:dyDescent="0.35">
      <c r="A31" s="1" t="s">
        <v>132</v>
      </c>
      <c r="E31" t="s">
        <v>11</v>
      </c>
      <c r="O31" t="s">
        <v>135</v>
      </c>
    </row>
    <row r="32" spans="1:26" x14ac:dyDescent="0.35">
      <c r="A32" s="1" t="s">
        <v>136</v>
      </c>
      <c r="H32" t="s">
        <v>138</v>
      </c>
      <c r="S32" t="s">
        <v>18</v>
      </c>
    </row>
    <row r="33" spans="1:26" x14ac:dyDescent="0.35">
      <c r="A33" s="1" t="s">
        <v>140</v>
      </c>
      <c r="F33" t="s">
        <v>54</v>
      </c>
      <c r="J33" t="s">
        <v>143</v>
      </c>
    </row>
    <row r="34" spans="1:26" x14ac:dyDescent="0.35">
      <c r="A34" s="1" t="s">
        <v>144</v>
      </c>
      <c r="E34" t="s">
        <v>109</v>
      </c>
      <c r="I34" t="s">
        <v>61</v>
      </c>
    </row>
    <row r="35" spans="1:26" x14ac:dyDescent="0.35">
      <c r="A35" s="1" t="s">
        <v>147</v>
      </c>
      <c r="K35" t="s">
        <v>61</v>
      </c>
      <c r="Q35" t="s">
        <v>91</v>
      </c>
      <c r="W35" t="s">
        <v>66</v>
      </c>
    </row>
    <row r="36" spans="1:26" x14ac:dyDescent="0.35">
      <c r="A36" s="1" t="s">
        <v>151</v>
      </c>
      <c r="F36" t="s">
        <v>54</v>
      </c>
      <c r="L36" t="s">
        <v>154</v>
      </c>
      <c r="O36" t="s">
        <v>61</v>
      </c>
    </row>
    <row r="37" spans="1:26" x14ac:dyDescent="0.35">
      <c r="A37" s="1" t="s">
        <v>156</v>
      </c>
      <c r="B37" t="s">
        <v>72</v>
      </c>
      <c r="C37" t="s">
        <v>159</v>
      </c>
      <c r="V37" t="s">
        <v>57</v>
      </c>
    </row>
    <row r="38" spans="1:26" x14ac:dyDescent="0.35">
      <c r="A38" s="1" t="s">
        <v>161</v>
      </c>
      <c r="D38" t="s">
        <v>54</v>
      </c>
      <c r="I38" t="s">
        <v>164</v>
      </c>
    </row>
    <row r="39" spans="1:26" x14ac:dyDescent="0.35">
      <c r="A39" s="1" t="s">
        <v>165</v>
      </c>
      <c r="F39" t="s">
        <v>11</v>
      </c>
      <c r="J39" t="s">
        <v>82</v>
      </c>
    </row>
    <row r="40" spans="1:26" x14ac:dyDescent="0.35">
      <c r="A40" s="1" t="s">
        <v>168</v>
      </c>
      <c r="C40" t="s">
        <v>11</v>
      </c>
      <c r="G40" t="s">
        <v>171</v>
      </c>
      <c r="W40" t="s">
        <v>18</v>
      </c>
    </row>
    <row r="41" spans="1:26" x14ac:dyDescent="0.35">
      <c r="A41" s="1" t="s">
        <v>173</v>
      </c>
      <c r="D41" t="s">
        <v>54</v>
      </c>
      <c r="P41" t="s">
        <v>176</v>
      </c>
    </row>
    <row r="42" spans="1:26" x14ac:dyDescent="0.35">
      <c r="A42" s="1" t="s">
        <v>177</v>
      </c>
      <c r="D42" t="s">
        <v>54</v>
      </c>
      <c r="G42" t="s">
        <v>180</v>
      </c>
    </row>
    <row r="43" spans="1:26" x14ac:dyDescent="0.35">
      <c r="A43" s="1" t="s">
        <v>181</v>
      </c>
      <c r="F43" t="s">
        <v>183</v>
      </c>
      <c r="T43" t="s">
        <v>91</v>
      </c>
    </row>
    <row r="44" spans="1:26" x14ac:dyDescent="0.35">
      <c r="A44" s="1" t="s">
        <v>185</v>
      </c>
      <c r="C44" t="s">
        <v>72</v>
      </c>
      <c r="R44" t="s">
        <v>82</v>
      </c>
    </row>
    <row r="45" spans="1:26" x14ac:dyDescent="0.35">
      <c r="A45" s="1" t="s">
        <v>188</v>
      </c>
      <c r="U45" t="s">
        <v>57</v>
      </c>
    </row>
    <row r="46" spans="1:26" x14ac:dyDescent="0.35">
      <c r="A46" s="1" t="s">
        <v>190</v>
      </c>
      <c r="E46" t="s">
        <v>61</v>
      </c>
      <c r="Z46" t="s">
        <v>193</v>
      </c>
    </row>
    <row r="47" spans="1:26" x14ac:dyDescent="0.35">
      <c r="A47" s="1" t="s">
        <v>194</v>
      </c>
      <c r="C47" t="s">
        <v>11</v>
      </c>
      <c r="S47" t="s">
        <v>82</v>
      </c>
    </row>
    <row r="48" spans="1:26" x14ac:dyDescent="0.35">
      <c r="A48" s="1" t="s">
        <v>197</v>
      </c>
      <c r="B48" t="s">
        <v>11</v>
      </c>
      <c r="H48" t="s">
        <v>14</v>
      </c>
      <c r="J48" t="s">
        <v>183</v>
      </c>
    </row>
    <row r="49" spans="1:26" x14ac:dyDescent="0.35">
      <c r="A49" s="1" t="s">
        <v>201</v>
      </c>
      <c r="B49" t="s">
        <v>61</v>
      </c>
      <c r="H49" t="s">
        <v>109</v>
      </c>
    </row>
    <row r="50" spans="1:26" x14ac:dyDescent="0.35">
      <c r="A50" s="1" t="s">
        <v>204</v>
      </c>
      <c r="D50" t="s">
        <v>11</v>
      </c>
      <c r="F50" t="s">
        <v>72</v>
      </c>
      <c r="L50" t="s">
        <v>63</v>
      </c>
    </row>
    <row r="51" spans="1:26" x14ac:dyDescent="0.35">
      <c r="A51" s="1" t="s">
        <v>208</v>
      </c>
      <c r="O51" t="s">
        <v>11</v>
      </c>
      <c r="X51" t="s">
        <v>154</v>
      </c>
    </row>
    <row r="52" spans="1:26" x14ac:dyDescent="0.35">
      <c r="A52" s="1" t="s">
        <v>211</v>
      </c>
      <c r="C52" t="s">
        <v>11</v>
      </c>
      <c r="J52" t="s">
        <v>214</v>
      </c>
    </row>
    <row r="53" spans="1:26" x14ac:dyDescent="0.35">
      <c r="A53" s="1" t="s">
        <v>215</v>
      </c>
      <c r="C53" t="s">
        <v>11</v>
      </c>
      <c r="N53" t="s">
        <v>61</v>
      </c>
      <c r="R53" t="s">
        <v>154</v>
      </c>
    </row>
    <row r="54" spans="1:26" x14ac:dyDescent="0.35">
      <c r="A54" s="1" t="s">
        <v>219</v>
      </c>
      <c r="U54" t="s">
        <v>11</v>
      </c>
      <c r="X54" t="s">
        <v>222</v>
      </c>
    </row>
    <row r="55" spans="1:26" x14ac:dyDescent="0.35">
      <c r="A55" s="1" t="s">
        <v>223</v>
      </c>
      <c r="X55" t="s">
        <v>225</v>
      </c>
      <c r="Y55" t="s">
        <v>18</v>
      </c>
    </row>
    <row r="56" spans="1:26" x14ac:dyDescent="0.35">
      <c r="A56" s="1" t="s">
        <v>227</v>
      </c>
      <c r="M56" t="s">
        <v>138</v>
      </c>
      <c r="Y56" t="s">
        <v>63</v>
      </c>
    </row>
    <row r="57" spans="1:26" x14ac:dyDescent="0.35">
      <c r="A57" s="1" t="s">
        <v>230</v>
      </c>
      <c r="M57" t="s">
        <v>16</v>
      </c>
      <c r="P57" t="s">
        <v>45</v>
      </c>
      <c r="Z57" t="s">
        <v>18</v>
      </c>
    </row>
    <row r="58" spans="1:26" x14ac:dyDescent="0.35">
      <c r="A58" s="1" t="s">
        <v>234</v>
      </c>
      <c r="M58" t="s">
        <v>119</v>
      </c>
      <c r="V58" t="s">
        <v>18</v>
      </c>
    </row>
    <row r="59" spans="1:26" x14ac:dyDescent="0.35">
      <c r="A59" s="1" t="s">
        <v>237</v>
      </c>
      <c r="C59" t="s">
        <v>72</v>
      </c>
      <c r="Z59" t="s">
        <v>240</v>
      </c>
    </row>
    <row r="60" spans="1:26" x14ac:dyDescent="0.35">
      <c r="A60" s="1" t="s">
        <v>241</v>
      </c>
      <c r="U60" t="s">
        <v>243</v>
      </c>
    </row>
    <row r="61" spans="1:26" x14ac:dyDescent="0.35">
      <c r="A61" s="1" t="s">
        <v>244</v>
      </c>
      <c r="D61" t="s">
        <v>61</v>
      </c>
      <c r="N61" t="s">
        <v>247</v>
      </c>
    </row>
    <row r="62" spans="1:26" x14ac:dyDescent="0.35">
      <c r="A62" s="1" t="s">
        <v>248</v>
      </c>
      <c r="P62" t="s">
        <v>61</v>
      </c>
      <c r="R62" t="s">
        <v>251</v>
      </c>
    </row>
    <row r="63" spans="1:26" x14ac:dyDescent="0.35">
      <c r="A63" s="1" t="s">
        <v>252</v>
      </c>
      <c r="E63" t="s">
        <v>11</v>
      </c>
      <c r="M63" t="s">
        <v>255</v>
      </c>
      <c r="P63" t="s">
        <v>176</v>
      </c>
    </row>
    <row r="64" spans="1:26" x14ac:dyDescent="0.35">
      <c r="A64" s="1" t="s">
        <v>257</v>
      </c>
      <c r="L64" t="s">
        <v>259</v>
      </c>
      <c r="P64" t="s">
        <v>18</v>
      </c>
    </row>
    <row r="65" spans="1:25" x14ac:dyDescent="0.35">
      <c r="A65" s="1" t="s">
        <v>261</v>
      </c>
      <c r="C65" t="s">
        <v>16</v>
      </c>
      <c r="E65" t="s">
        <v>11</v>
      </c>
      <c r="O65" t="s">
        <v>57</v>
      </c>
    </row>
    <row r="66" spans="1:25" x14ac:dyDescent="0.35">
      <c r="A66" s="1" t="s">
        <v>265</v>
      </c>
      <c r="F66" t="s">
        <v>36</v>
      </c>
      <c r="L66" t="s">
        <v>61</v>
      </c>
    </row>
    <row r="67" spans="1:25" x14ac:dyDescent="0.35">
      <c r="A67" s="1" t="s">
        <v>268</v>
      </c>
      <c r="D67" t="s">
        <v>16</v>
      </c>
      <c r="P67" t="s">
        <v>11</v>
      </c>
      <c r="V67" t="s">
        <v>57</v>
      </c>
    </row>
    <row r="68" spans="1:25" x14ac:dyDescent="0.35">
      <c r="A68" s="1" t="s">
        <v>272</v>
      </c>
      <c r="D68" t="s">
        <v>45</v>
      </c>
      <c r="G68" t="s">
        <v>18</v>
      </c>
    </row>
    <row r="69" spans="1:25" x14ac:dyDescent="0.35">
      <c r="A69" s="1" t="s">
        <v>275</v>
      </c>
      <c r="C69" t="s">
        <v>138</v>
      </c>
      <c r="O69" t="s">
        <v>14</v>
      </c>
      <c r="S69" t="s">
        <v>18</v>
      </c>
    </row>
    <row r="70" spans="1:25" x14ac:dyDescent="0.35">
      <c r="A70" s="1" t="s">
        <v>279</v>
      </c>
      <c r="E70" t="s">
        <v>11</v>
      </c>
      <c r="L70" t="s">
        <v>14</v>
      </c>
      <c r="O70" t="s">
        <v>18</v>
      </c>
    </row>
    <row r="71" spans="1:25" x14ac:dyDescent="0.35">
      <c r="A71" s="1" t="s">
        <v>283</v>
      </c>
      <c r="K71" t="s">
        <v>11</v>
      </c>
      <c r="W71" t="s">
        <v>131</v>
      </c>
    </row>
    <row r="72" spans="1:25" x14ac:dyDescent="0.35">
      <c r="A72" s="1" t="s">
        <v>286</v>
      </c>
      <c r="B72" t="s">
        <v>61</v>
      </c>
      <c r="D72" t="s">
        <v>11</v>
      </c>
      <c r="Y72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zoomScale="63" zoomScaleNormal="190" workbookViewId="0">
      <selection activeCell="I2" sqref="I2"/>
    </sheetView>
  </sheetViews>
  <sheetFormatPr baseColWidth="10" defaultColWidth="8.7265625" defaultRowHeight="14.5" x14ac:dyDescent="0.35"/>
  <cols>
    <col min="1" max="1" width="5" bestFit="1" customWidth="1"/>
    <col min="2" max="2" width="11.36328125" bestFit="1" customWidth="1"/>
    <col min="3" max="3" width="12.7265625" hidden="1" customWidth="1"/>
    <col min="4" max="4" width="12.08984375" bestFit="1" customWidth="1"/>
    <col min="5" max="5" width="12.08984375" hidden="1" customWidth="1"/>
    <col min="6" max="6" width="18.1796875" hidden="1" customWidth="1"/>
    <col min="7" max="7" width="19.7265625" customWidth="1"/>
    <col min="8" max="8" width="25.7265625" bestFit="1" customWidth="1"/>
  </cols>
  <sheetData>
    <row r="1" spans="1:8" x14ac:dyDescent="0.35">
      <c r="A1" s="1" t="s">
        <v>1</v>
      </c>
      <c r="B1" s="1" t="s">
        <v>290</v>
      </c>
      <c r="C1" s="1" t="s">
        <v>291</v>
      </c>
      <c r="D1" s="5" t="s">
        <v>292</v>
      </c>
      <c r="E1" s="2" t="s">
        <v>296</v>
      </c>
      <c r="F1" s="2" t="s">
        <v>297</v>
      </c>
      <c r="G1" s="4" t="s">
        <v>301</v>
      </c>
      <c r="H1" s="4" t="s">
        <v>298</v>
      </c>
    </row>
    <row r="2" spans="1:8" x14ac:dyDescent="0.35">
      <c r="A2">
        <v>2026</v>
      </c>
      <c r="B2">
        <v>8</v>
      </c>
      <c r="C2">
        <v>974.37770354478232</v>
      </c>
      <c r="D2">
        <v>1998051.748586386</v>
      </c>
      <c r="E2">
        <f>C2</f>
        <v>974.37770354478232</v>
      </c>
      <c r="F2" s="3">
        <v>18759.129690999998</v>
      </c>
      <c r="G2" cm="1">
        <f t="array" ref="G2:G26">100*E2:E26/F2</f>
        <v>5.1941519654414243</v>
      </c>
      <c r="H2">
        <f>AVERAGE(B:B)</f>
        <v>6.36</v>
      </c>
    </row>
    <row r="3" spans="1:8" x14ac:dyDescent="0.35">
      <c r="A3">
        <v>2027</v>
      </c>
      <c r="B3">
        <v>13</v>
      </c>
      <c r="C3">
        <v>1084.581013280236</v>
      </c>
      <c r="D3">
        <v>1998327.9923664711</v>
      </c>
      <c r="E3">
        <f>SUM(C2:C3)</f>
        <v>2058.9587168250182</v>
      </c>
      <c r="G3">
        <v>10.975768869559218</v>
      </c>
      <c r="H3">
        <f t="shared" ref="H3:H26" si="0">AVERAGE(B:B)</f>
        <v>6.36</v>
      </c>
    </row>
    <row r="4" spans="1:8" x14ac:dyDescent="0.35">
      <c r="A4">
        <v>2028</v>
      </c>
      <c r="B4">
        <v>14</v>
      </c>
      <c r="C4">
        <v>1152.3366562593701</v>
      </c>
      <c r="D4">
        <v>1998187.723270868</v>
      </c>
      <c r="E4">
        <f>SUM(C2:C4)</f>
        <v>3211.2953730843883</v>
      </c>
      <c r="G4">
        <v>17.11857333458844</v>
      </c>
      <c r="H4">
        <f t="shared" si="0"/>
        <v>6.36</v>
      </c>
    </row>
    <row r="5" spans="1:8" x14ac:dyDescent="0.35">
      <c r="A5">
        <v>2029</v>
      </c>
      <c r="B5">
        <v>10</v>
      </c>
      <c r="C5">
        <v>1332.561765714878</v>
      </c>
      <c r="D5">
        <v>1998798.4922136359</v>
      </c>
      <c r="E5">
        <f>SUM(C2:C5)</f>
        <v>4543.8571387992661</v>
      </c>
      <c r="G5">
        <v>24.222110586394933</v>
      </c>
      <c r="H5">
        <f t="shared" si="0"/>
        <v>6.36</v>
      </c>
    </row>
    <row r="6" spans="1:8" x14ac:dyDescent="0.35">
      <c r="A6">
        <v>2030</v>
      </c>
      <c r="B6">
        <v>8</v>
      </c>
      <c r="C6">
        <v>1009.258842363208</v>
      </c>
      <c r="D6">
        <v>1999643.0699914419</v>
      </c>
      <c r="E6">
        <f>SUM(C2:C6)</f>
        <v>5553.1159811624739</v>
      </c>
      <c r="G6">
        <v>29.602204753809406</v>
      </c>
      <c r="H6">
        <f t="shared" si="0"/>
        <v>6.36</v>
      </c>
    </row>
    <row r="7" spans="1:8" x14ac:dyDescent="0.35">
      <c r="A7">
        <v>2031</v>
      </c>
      <c r="B7">
        <v>4</v>
      </c>
      <c r="C7">
        <v>333.20193027850678</v>
      </c>
      <c r="D7">
        <v>1998163.15</v>
      </c>
      <c r="E7">
        <f>SUM(C2:C7)</f>
        <v>5886.3179114409804</v>
      </c>
      <c r="G7">
        <v>31.378416847691174</v>
      </c>
      <c r="H7">
        <f t="shared" si="0"/>
        <v>6.36</v>
      </c>
    </row>
    <row r="8" spans="1:8" x14ac:dyDescent="0.35">
      <c r="A8">
        <v>2032</v>
      </c>
      <c r="B8">
        <v>6</v>
      </c>
      <c r="C8">
        <v>338.02323570634849</v>
      </c>
      <c r="D8">
        <v>1998130.343757181</v>
      </c>
      <c r="E8">
        <f>SUM(C2:C8)</f>
        <v>6224.3411471473291</v>
      </c>
      <c r="G8">
        <v>33.180330056215553</v>
      </c>
      <c r="H8">
        <f t="shared" si="0"/>
        <v>6.36</v>
      </c>
    </row>
    <row r="9" spans="1:8" x14ac:dyDescent="0.35">
      <c r="A9">
        <v>2033</v>
      </c>
      <c r="B9">
        <v>2</v>
      </c>
      <c r="C9">
        <v>253.96955762647971</v>
      </c>
      <c r="D9">
        <v>1994397.645</v>
      </c>
      <c r="E9">
        <f>C9+E8</f>
        <v>6478.3107047738085</v>
      </c>
      <c r="G9">
        <v>34.534175153562082</v>
      </c>
      <c r="H9">
        <f t="shared" si="0"/>
        <v>6.36</v>
      </c>
    </row>
    <row r="10" spans="1:8" x14ac:dyDescent="0.35">
      <c r="A10">
        <v>2034</v>
      </c>
      <c r="B10">
        <v>6</v>
      </c>
      <c r="C10">
        <v>295.29705624898452</v>
      </c>
      <c r="D10">
        <v>1997482.3148123799</v>
      </c>
      <c r="E10">
        <f>C10+E9</f>
        <v>6773.6077610227931</v>
      </c>
      <c r="G10">
        <v>36.108326306164102</v>
      </c>
      <c r="H10">
        <f t="shared" si="0"/>
        <v>6.36</v>
      </c>
    </row>
    <row r="11" spans="1:8" x14ac:dyDescent="0.35">
      <c r="A11">
        <v>2035</v>
      </c>
      <c r="B11">
        <v>4</v>
      </c>
      <c r="C11">
        <v>270.54061881453038</v>
      </c>
      <c r="D11">
        <v>1997096.812531349</v>
      </c>
      <c r="E11">
        <f>C11+E10</f>
        <v>7044.1483798373238</v>
      </c>
      <c r="G11">
        <v>37.550507384235793</v>
      </c>
      <c r="H11">
        <f t="shared" si="0"/>
        <v>6.36</v>
      </c>
    </row>
    <row r="12" spans="1:8" x14ac:dyDescent="0.35">
      <c r="A12">
        <v>2036</v>
      </c>
      <c r="B12">
        <v>6</v>
      </c>
      <c r="C12">
        <v>252.4832984422172</v>
      </c>
      <c r="D12">
        <v>1994054.0405821139</v>
      </c>
      <c r="E12">
        <f t="shared" ref="E12:E26" si="1">C12+E11</f>
        <v>7296.6316782795411</v>
      </c>
      <c r="G12">
        <v>38.896429623705949</v>
      </c>
      <c r="H12">
        <f t="shared" si="0"/>
        <v>6.36</v>
      </c>
    </row>
    <row r="13" spans="1:8" x14ac:dyDescent="0.35">
      <c r="A13">
        <v>2037</v>
      </c>
      <c r="B13">
        <v>6</v>
      </c>
      <c r="C13">
        <v>397.522392032472</v>
      </c>
      <c r="D13">
        <v>1997573.847657105</v>
      </c>
      <c r="E13">
        <f t="shared" si="1"/>
        <v>7694.1540703120136</v>
      </c>
      <c r="G13">
        <v>41.015517228410715</v>
      </c>
      <c r="H13">
        <f t="shared" si="0"/>
        <v>6.36</v>
      </c>
    </row>
    <row r="14" spans="1:8" x14ac:dyDescent="0.35">
      <c r="A14">
        <v>2038</v>
      </c>
      <c r="B14">
        <v>5</v>
      </c>
      <c r="C14">
        <v>221.90168739693189</v>
      </c>
      <c r="D14">
        <v>1997323.5463978399</v>
      </c>
      <c r="E14">
        <f t="shared" si="1"/>
        <v>7916.0557577089457</v>
      </c>
      <c r="G14">
        <v>42.198416920731688</v>
      </c>
      <c r="H14">
        <f t="shared" si="0"/>
        <v>6.36</v>
      </c>
    </row>
    <row r="15" spans="1:8" x14ac:dyDescent="0.35">
      <c r="A15">
        <v>2039</v>
      </c>
      <c r="B15">
        <v>9</v>
      </c>
      <c r="C15">
        <v>281.11412547330332</v>
      </c>
      <c r="D15">
        <v>1998655.3731545701</v>
      </c>
      <c r="E15">
        <f t="shared" si="1"/>
        <v>8197.1698831822487</v>
      </c>
      <c r="G15">
        <v>43.696962589447722</v>
      </c>
      <c r="H15">
        <f t="shared" si="0"/>
        <v>6.36</v>
      </c>
    </row>
    <row r="16" spans="1:8" x14ac:dyDescent="0.35">
      <c r="A16">
        <v>2040</v>
      </c>
      <c r="B16">
        <v>10</v>
      </c>
      <c r="C16">
        <v>205.10219600082331</v>
      </c>
      <c r="D16">
        <v>1998311.4553570589</v>
      </c>
      <c r="E16">
        <f t="shared" si="1"/>
        <v>8402.2720791830725</v>
      </c>
      <c r="G16">
        <v>44.790308599519953</v>
      </c>
      <c r="H16">
        <f t="shared" si="0"/>
        <v>6.36</v>
      </c>
    </row>
    <row r="17" spans="1:8" x14ac:dyDescent="0.35">
      <c r="A17">
        <v>2041</v>
      </c>
      <c r="B17">
        <v>1</v>
      </c>
      <c r="C17">
        <v>106.229531584965</v>
      </c>
      <c r="D17">
        <v>1977043.6665000001</v>
      </c>
      <c r="E17">
        <f t="shared" si="1"/>
        <v>8508.5016107680367</v>
      </c>
      <c r="G17">
        <v>45.356590369169048</v>
      </c>
      <c r="H17">
        <f t="shared" si="0"/>
        <v>6.36</v>
      </c>
    </row>
    <row r="18" spans="1:8" x14ac:dyDescent="0.35">
      <c r="A18">
        <v>2042</v>
      </c>
      <c r="B18">
        <v>4</v>
      </c>
      <c r="C18">
        <v>47.059263752941312</v>
      </c>
      <c r="D18">
        <v>1966054.3374892659</v>
      </c>
      <c r="E18">
        <f t="shared" si="1"/>
        <v>8555.5608745209774</v>
      </c>
      <c r="G18">
        <v>45.60745096093477</v>
      </c>
      <c r="H18">
        <f t="shared" si="0"/>
        <v>6.36</v>
      </c>
    </row>
    <row r="19" spans="1:8" x14ac:dyDescent="0.35">
      <c r="A19">
        <v>2043</v>
      </c>
      <c r="B19">
        <v>5</v>
      </c>
      <c r="C19">
        <v>47.821246212379357</v>
      </c>
      <c r="D19">
        <v>1930456.905631053</v>
      </c>
      <c r="E19">
        <f t="shared" si="1"/>
        <v>8603.3821207333567</v>
      </c>
      <c r="G19">
        <v>45.862373481329314</v>
      </c>
      <c r="H19">
        <f t="shared" si="0"/>
        <v>6.36</v>
      </c>
    </row>
    <row r="20" spans="1:8" x14ac:dyDescent="0.35">
      <c r="A20">
        <v>2044</v>
      </c>
      <c r="B20">
        <v>4</v>
      </c>
      <c r="C20">
        <v>19.70135806621921</v>
      </c>
      <c r="D20">
        <v>1969599.3847459999</v>
      </c>
      <c r="E20">
        <f t="shared" si="1"/>
        <v>8623.0834787995755</v>
      </c>
      <c r="G20">
        <v>45.967396253657981</v>
      </c>
      <c r="H20">
        <f t="shared" si="0"/>
        <v>6.36</v>
      </c>
    </row>
    <row r="21" spans="1:8" x14ac:dyDescent="0.35">
      <c r="A21">
        <v>2045</v>
      </c>
      <c r="B21">
        <v>5</v>
      </c>
      <c r="C21">
        <v>27.428315038448979</v>
      </c>
      <c r="D21">
        <v>1849514.1682884321</v>
      </c>
      <c r="E21">
        <f t="shared" si="1"/>
        <v>8650.5117938380245</v>
      </c>
      <c r="G21">
        <v>46.113609406881231</v>
      </c>
      <c r="H21">
        <f t="shared" si="0"/>
        <v>6.36</v>
      </c>
    </row>
    <row r="22" spans="1:8" x14ac:dyDescent="0.35">
      <c r="A22">
        <v>2046</v>
      </c>
      <c r="B22">
        <v>4</v>
      </c>
      <c r="C22">
        <v>114.5598359622544</v>
      </c>
      <c r="D22">
        <v>1828343.8095022771</v>
      </c>
      <c r="E22">
        <f t="shared" si="1"/>
        <v>8765.071629800279</v>
      </c>
      <c r="G22">
        <v>46.724297844187653</v>
      </c>
      <c r="H22">
        <f t="shared" si="0"/>
        <v>6.36</v>
      </c>
    </row>
    <row r="23" spans="1:8" x14ac:dyDescent="0.35">
      <c r="A23">
        <v>2047</v>
      </c>
      <c r="B23">
        <v>5</v>
      </c>
      <c r="C23">
        <v>84.675843494946903</v>
      </c>
      <c r="D23">
        <v>1718349.2241290391</v>
      </c>
      <c r="E23">
        <f t="shared" si="1"/>
        <v>8849.7474732952251</v>
      </c>
      <c r="G23">
        <v>47.175682556003849</v>
      </c>
      <c r="H23">
        <f t="shared" si="0"/>
        <v>6.36</v>
      </c>
    </row>
    <row r="24" spans="1:8" x14ac:dyDescent="0.35">
      <c r="A24">
        <v>2048</v>
      </c>
      <c r="B24">
        <v>7</v>
      </c>
      <c r="C24">
        <v>-6.8420666748929904</v>
      </c>
      <c r="D24">
        <v>1596391.173170354</v>
      </c>
      <c r="E24">
        <f t="shared" si="1"/>
        <v>8842.9054066203316</v>
      </c>
      <c r="G24">
        <v>47.139209293184116</v>
      </c>
      <c r="H24">
        <f t="shared" si="0"/>
        <v>6.36</v>
      </c>
    </row>
    <row r="25" spans="1:8" x14ac:dyDescent="0.35">
      <c r="A25">
        <v>2049</v>
      </c>
      <c r="B25">
        <v>6</v>
      </c>
      <c r="C25">
        <v>78.778845468870728</v>
      </c>
      <c r="D25">
        <v>1068476.166736667</v>
      </c>
      <c r="E25">
        <f t="shared" si="1"/>
        <v>8921.6842520892023</v>
      </c>
      <c r="G25">
        <v>47.55915865526282</v>
      </c>
      <c r="H25">
        <f t="shared" si="0"/>
        <v>6.36</v>
      </c>
    </row>
    <row r="26" spans="1:8" x14ac:dyDescent="0.35">
      <c r="A26">
        <v>2050</v>
      </c>
      <c r="B26">
        <v>7</v>
      </c>
      <c r="C26">
        <v>51.643101989711063</v>
      </c>
      <c r="D26">
        <v>1954903.369697636</v>
      </c>
      <c r="E26">
        <f t="shared" si="1"/>
        <v>8973.3273540789141</v>
      </c>
      <c r="G26">
        <v>47.834454486361466</v>
      </c>
      <c r="H26">
        <f t="shared" si="0"/>
        <v>6.36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1"/>
  <sheetViews>
    <sheetView topLeftCell="B1" zoomScale="70" workbookViewId="0">
      <selection activeCell="Z30" sqref="Z30"/>
    </sheetView>
  </sheetViews>
  <sheetFormatPr baseColWidth="10" defaultColWidth="8.7265625" defaultRowHeight="14.5" x14ac:dyDescent="0.35"/>
  <cols>
    <col min="1" max="1" width="13.1796875" bestFit="1" customWidth="1"/>
    <col min="2" max="2" width="4.81640625" bestFit="1" customWidth="1"/>
    <col min="3" max="3" width="16.1796875" bestFit="1" customWidth="1"/>
    <col min="4" max="4" width="11.90625" bestFit="1" customWidth="1"/>
    <col min="5" max="5" width="11.81640625" bestFit="1" customWidth="1"/>
    <col min="6" max="6" width="13" customWidth="1"/>
    <col min="7" max="7" width="13.6328125" customWidth="1"/>
  </cols>
  <sheetData>
    <row r="1" spans="1:7" x14ac:dyDescent="0.35">
      <c r="A1" s="1" t="s">
        <v>7</v>
      </c>
      <c r="B1" s="1" t="s">
        <v>1</v>
      </c>
      <c r="C1" s="1" t="s">
        <v>293</v>
      </c>
      <c r="D1" s="1" t="s">
        <v>294</v>
      </c>
      <c r="E1" s="1" t="s">
        <v>295</v>
      </c>
      <c r="F1" s="6" t="s">
        <v>299</v>
      </c>
      <c r="G1" s="6" t="s">
        <v>300</v>
      </c>
    </row>
    <row r="2" spans="1:7" x14ac:dyDescent="0.35">
      <c r="A2" t="s">
        <v>32</v>
      </c>
      <c r="B2">
        <v>2026</v>
      </c>
      <c r="C2">
        <v>1</v>
      </c>
      <c r="D2">
        <v>1.2</v>
      </c>
      <c r="E2">
        <v>0.16666666666666671</v>
      </c>
      <c r="F2" cm="1">
        <f t="array" ref="F2:F101">(1-E2:E101)*100</f>
        <v>83.333333333333329</v>
      </c>
      <c r="G2">
        <v>80</v>
      </c>
    </row>
    <row r="3" spans="1:7" x14ac:dyDescent="0.35">
      <c r="A3" t="s">
        <v>32</v>
      </c>
      <c r="B3">
        <v>2027</v>
      </c>
      <c r="C3">
        <v>1</v>
      </c>
      <c r="D3">
        <v>1.2</v>
      </c>
      <c r="E3">
        <v>0.16666666666666671</v>
      </c>
      <c r="F3">
        <v>83.333333333333329</v>
      </c>
      <c r="G3">
        <v>80</v>
      </c>
    </row>
    <row r="4" spans="1:7" x14ac:dyDescent="0.35">
      <c r="A4" t="s">
        <v>32</v>
      </c>
      <c r="B4">
        <v>2028</v>
      </c>
      <c r="C4">
        <v>1</v>
      </c>
      <c r="D4">
        <v>1.2</v>
      </c>
      <c r="E4">
        <v>0.16666666666666671</v>
      </c>
      <c r="F4">
        <v>83.333333333333329</v>
      </c>
      <c r="G4">
        <v>80</v>
      </c>
    </row>
    <row r="5" spans="1:7" x14ac:dyDescent="0.35">
      <c r="A5" t="s">
        <v>32</v>
      </c>
      <c r="B5">
        <v>2029</v>
      </c>
      <c r="C5">
        <v>0</v>
      </c>
      <c r="D5">
        <v>1.2</v>
      </c>
      <c r="E5">
        <v>0</v>
      </c>
      <c r="F5">
        <v>100</v>
      </c>
      <c r="G5">
        <v>80</v>
      </c>
    </row>
    <row r="6" spans="1:7" x14ac:dyDescent="0.35">
      <c r="A6" t="s">
        <v>32</v>
      </c>
      <c r="B6">
        <v>2030</v>
      </c>
      <c r="C6">
        <v>0</v>
      </c>
      <c r="D6">
        <v>1.2</v>
      </c>
      <c r="E6">
        <v>0</v>
      </c>
      <c r="F6">
        <v>100</v>
      </c>
      <c r="G6">
        <v>80</v>
      </c>
    </row>
    <row r="7" spans="1:7" x14ac:dyDescent="0.35">
      <c r="A7" t="s">
        <v>32</v>
      </c>
      <c r="B7">
        <v>2031</v>
      </c>
      <c r="C7">
        <v>0</v>
      </c>
      <c r="D7">
        <v>1.2</v>
      </c>
      <c r="E7">
        <v>0</v>
      </c>
      <c r="F7">
        <v>100</v>
      </c>
      <c r="G7">
        <v>80</v>
      </c>
    </row>
    <row r="8" spans="1:7" x14ac:dyDescent="0.35">
      <c r="A8" t="s">
        <v>32</v>
      </c>
      <c r="B8">
        <v>2032</v>
      </c>
      <c r="C8">
        <v>0</v>
      </c>
      <c r="D8">
        <v>1.2</v>
      </c>
      <c r="E8">
        <v>0</v>
      </c>
      <c r="F8">
        <v>100</v>
      </c>
      <c r="G8">
        <v>80</v>
      </c>
    </row>
    <row r="9" spans="1:7" x14ac:dyDescent="0.35">
      <c r="A9" t="s">
        <v>32</v>
      </c>
      <c r="B9">
        <v>2033</v>
      </c>
      <c r="C9">
        <v>0</v>
      </c>
      <c r="D9">
        <v>1.2</v>
      </c>
      <c r="E9">
        <v>0</v>
      </c>
      <c r="F9">
        <v>100</v>
      </c>
      <c r="G9">
        <v>80</v>
      </c>
    </row>
    <row r="10" spans="1:7" x14ac:dyDescent="0.35">
      <c r="A10" t="s">
        <v>32</v>
      </c>
      <c r="B10">
        <v>2034</v>
      </c>
      <c r="C10">
        <v>1</v>
      </c>
      <c r="D10">
        <v>1.2</v>
      </c>
      <c r="E10">
        <v>0.16666666666666671</v>
      </c>
      <c r="F10">
        <v>83.333333333333329</v>
      </c>
      <c r="G10">
        <v>80</v>
      </c>
    </row>
    <row r="11" spans="1:7" x14ac:dyDescent="0.35">
      <c r="A11" t="s">
        <v>32</v>
      </c>
      <c r="B11">
        <v>2035</v>
      </c>
      <c r="C11">
        <v>0</v>
      </c>
      <c r="D11">
        <v>1.2</v>
      </c>
      <c r="E11">
        <v>0</v>
      </c>
      <c r="F11">
        <v>100</v>
      </c>
      <c r="G11">
        <v>80</v>
      </c>
    </row>
    <row r="12" spans="1:7" x14ac:dyDescent="0.35">
      <c r="A12" t="s">
        <v>32</v>
      </c>
      <c r="B12">
        <v>2036</v>
      </c>
      <c r="C12">
        <v>0</v>
      </c>
      <c r="D12">
        <v>1.2</v>
      </c>
      <c r="E12">
        <v>0</v>
      </c>
      <c r="F12">
        <v>100</v>
      </c>
      <c r="G12">
        <v>80</v>
      </c>
    </row>
    <row r="13" spans="1:7" x14ac:dyDescent="0.35">
      <c r="A13" t="s">
        <v>32</v>
      </c>
      <c r="B13">
        <v>2037</v>
      </c>
      <c r="C13">
        <v>1</v>
      </c>
      <c r="D13">
        <v>1.2</v>
      </c>
      <c r="E13">
        <v>0.16666666666666671</v>
      </c>
      <c r="F13">
        <v>83.333333333333329</v>
      </c>
      <c r="G13">
        <v>80</v>
      </c>
    </row>
    <row r="14" spans="1:7" x14ac:dyDescent="0.35">
      <c r="A14" t="s">
        <v>32</v>
      </c>
      <c r="B14">
        <v>2038</v>
      </c>
      <c r="C14">
        <v>1</v>
      </c>
      <c r="D14">
        <v>1.2</v>
      </c>
      <c r="E14">
        <v>0.16666666666666671</v>
      </c>
      <c r="F14">
        <v>83.333333333333329</v>
      </c>
      <c r="G14">
        <v>80</v>
      </c>
    </row>
    <row r="15" spans="1:7" x14ac:dyDescent="0.35">
      <c r="A15" t="s">
        <v>32</v>
      </c>
      <c r="B15">
        <v>2039</v>
      </c>
      <c r="C15">
        <v>0</v>
      </c>
      <c r="D15">
        <v>1.2</v>
      </c>
      <c r="E15">
        <v>0</v>
      </c>
      <c r="F15">
        <v>100</v>
      </c>
      <c r="G15">
        <v>80</v>
      </c>
    </row>
    <row r="16" spans="1:7" x14ac:dyDescent="0.35">
      <c r="A16" t="s">
        <v>32</v>
      </c>
      <c r="B16">
        <v>2040</v>
      </c>
      <c r="C16">
        <v>1</v>
      </c>
      <c r="D16">
        <v>1.2</v>
      </c>
      <c r="E16">
        <v>0.16666666666666671</v>
      </c>
      <c r="F16">
        <v>83.333333333333329</v>
      </c>
      <c r="G16">
        <v>80</v>
      </c>
    </row>
    <row r="17" spans="1:7" x14ac:dyDescent="0.35">
      <c r="A17" t="s">
        <v>32</v>
      </c>
      <c r="B17">
        <v>2041</v>
      </c>
      <c r="C17">
        <v>0</v>
      </c>
      <c r="D17">
        <v>1.2</v>
      </c>
      <c r="E17">
        <v>0</v>
      </c>
      <c r="F17">
        <v>100</v>
      </c>
      <c r="G17">
        <v>80</v>
      </c>
    </row>
    <row r="18" spans="1:7" x14ac:dyDescent="0.35">
      <c r="A18" t="s">
        <v>32</v>
      </c>
      <c r="B18">
        <v>2042</v>
      </c>
      <c r="C18">
        <v>1</v>
      </c>
      <c r="D18">
        <v>1.2</v>
      </c>
      <c r="E18">
        <v>0.16666666666666671</v>
      </c>
      <c r="F18">
        <v>83.333333333333329</v>
      </c>
      <c r="G18">
        <v>80</v>
      </c>
    </row>
    <row r="19" spans="1:7" x14ac:dyDescent="0.35">
      <c r="A19" t="s">
        <v>32</v>
      </c>
      <c r="B19">
        <v>2043</v>
      </c>
      <c r="C19">
        <v>1</v>
      </c>
      <c r="D19">
        <v>1.2</v>
      </c>
      <c r="E19">
        <v>0.16666666666666671</v>
      </c>
      <c r="F19">
        <v>83.333333333333329</v>
      </c>
      <c r="G19">
        <v>80</v>
      </c>
    </row>
    <row r="20" spans="1:7" x14ac:dyDescent="0.35">
      <c r="A20" t="s">
        <v>32</v>
      </c>
      <c r="B20">
        <v>2044</v>
      </c>
      <c r="C20">
        <v>0</v>
      </c>
      <c r="D20">
        <v>1.2</v>
      </c>
      <c r="E20">
        <v>0</v>
      </c>
      <c r="F20">
        <v>100</v>
      </c>
      <c r="G20">
        <v>80</v>
      </c>
    </row>
    <row r="21" spans="1:7" x14ac:dyDescent="0.35">
      <c r="A21" t="s">
        <v>32</v>
      </c>
      <c r="B21">
        <v>2045</v>
      </c>
      <c r="C21">
        <v>1</v>
      </c>
      <c r="D21">
        <v>1.2</v>
      </c>
      <c r="E21">
        <v>0.16666666666666671</v>
      </c>
      <c r="F21">
        <v>83.333333333333329</v>
      </c>
      <c r="G21">
        <v>80</v>
      </c>
    </row>
    <row r="22" spans="1:7" x14ac:dyDescent="0.35">
      <c r="A22" t="s">
        <v>32</v>
      </c>
      <c r="B22">
        <v>2046</v>
      </c>
      <c r="C22">
        <v>0</v>
      </c>
      <c r="D22">
        <v>1.2</v>
      </c>
      <c r="E22">
        <v>0</v>
      </c>
      <c r="F22">
        <v>100</v>
      </c>
      <c r="G22">
        <v>80</v>
      </c>
    </row>
    <row r="23" spans="1:7" x14ac:dyDescent="0.35">
      <c r="A23" t="s">
        <v>32</v>
      </c>
      <c r="B23">
        <v>2047</v>
      </c>
      <c r="C23">
        <v>1</v>
      </c>
      <c r="D23">
        <v>1.2</v>
      </c>
      <c r="E23">
        <v>0.16666666666666671</v>
      </c>
      <c r="F23">
        <v>83.333333333333329</v>
      </c>
      <c r="G23">
        <v>80</v>
      </c>
    </row>
    <row r="24" spans="1:7" x14ac:dyDescent="0.35">
      <c r="A24" t="s">
        <v>32</v>
      </c>
      <c r="B24">
        <v>2048</v>
      </c>
      <c r="C24">
        <v>1</v>
      </c>
      <c r="D24">
        <v>1.2</v>
      </c>
      <c r="E24">
        <v>0.16666666666666671</v>
      </c>
      <c r="F24">
        <v>83.333333333333329</v>
      </c>
      <c r="G24">
        <v>80</v>
      </c>
    </row>
    <row r="25" spans="1:7" x14ac:dyDescent="0.35">
      <c r="A25" t="s">
        <v>32</v>
      </c>
      <c r="B25">
        <v>2049</v>
      </c>
      <c r="C25">
        <v>1</v>
      </c>
      <c r="D25">
        <v>1.2</v>
      </c>
      <c r="E25">
        <v>0.16666666666666671</v>
      </c>
      <c r="F25">
        <v>83.333333333333329</v>
      </c>
      <c r="G25">
        <v>80</v>
      </c>
    </row>
    <row r="26" spans="1:7" x14ac:dyDescent="0.35">
      <c r="A26" t="s">
        <v>32</v>
      </c>
      <c r="B26">
        <v>2050</v>
      </c>
      <c r="C26">
        <v>0</v>
      </c>
      <c r="D26">
        <v>1.2</v>
      </c>
      <c r="E26">
        <v>0</v>
      </c>
      <c r="F26">
        <v>100</v>
      </c>
      <c r="G26">
        <v>80</v>
      </c>
    </row>
    <row r="27" spans="1:7" x14ac:dyDescent="0.35">
      <c r="A27" t="s">
        <v>26</v>
      </c>
      <c r="B27">
        <v>2026</v>
      </c>
      <c r="C27">
        <v>2</v>
      </c>
      <c r="D27">
        <v>5.2</v>
      </c>
      <c r="E27">
        <v>7.6923076923076927E-2</v>
      </c>
      <c r="F27">
        <v>92.307692307692307</v>
      </c>
      <c r="G27">
        <v>80</v>
      </c>
    </row>
    <row r="28" spans="1:7" x14ac:dyDescent="0.35">
      <c r="A28" t="s">
        <v>26</v>
      </c>
      <c r="B28">
        <v>2027</v>
      </c>
      <c r="C28">
        <v>4</v>
      </c>
      <c r="D28">
        <v>5.2</v>
      </c>
      <c r="E28">
        <v>0.15384615384615391</v>
      </c>
      <c r="F28">
        <v>84.615384615384599</v>
      </c>
      <c r="G28">
        <v>80</v>
      </c>
    </row>
    <row r="29" spans="1:7" x14ac:dyDescent="0.35">
      <c r="A29" t="s">
        <v>26</v>
      </c>
      <c r="B29">
        <v>2028</v>
      </c>
      <c r="C29">
        <v>5</v>
      </c>
      <c r="D29">
        <v>5.2</v>
      </c>
      <c r="E29">
        <v>0.19230769230769229</v>
      </c>
      <c r="F29">
        <v>80.769230769230774</v>
      </c>
      <c r="G29">
        <v>80</v>
      </c>
    </row>
    <row r="30" spans="1:7" x14ac:dyDescent="0.35">
      <c r="A30" t="s">
        <v>26</v>
      </c>
      <c r="B30">
        <v>2029</v>
      </c>
      <c r="C30">
        <v>3</v>
      </c>
      <c r="D30">
        <v>5.2</v>
      </c>
      <c r="E30">
        <v>0.1153846153846154</v>
      </c>
      <c r="F30">
        <v>88.461538461538453</v>
      </c>
      <c r="G30">
        <v>80</v>
      </c>
    </row>
    <row r="31" spans="1:7" x14ac:dyDescent="0.35">
      <c r="A31" t="s">
        <v>26</v>
      </c>
      <c r="B31">
        <v>2030</v>
      </c>
      <c r="C31">
        <v>1</v>
      </c>
      <c r="D31">
        <v>5.2</v>
      </c>
      <c r="E31">
        <v>3.8461538461538457E-2</v>
      </c>
      <c r="F31">
        <v>96.15384615384616</v>
      </c>
      <c r="G31">
        <v>80</v>
      </c>
    </row>
    <row r="32" spans="1:7" x14ac:dyDescent="0.35">
      <c r="A32" t="s">
        <v>26</v>
      </c>
      <c r="B32">
        <v>2031</v>
      </c>
      <c r="C32">
        <v>0</v>
      </c>
      <c r="D32">
        <v>5.2</v>
      </c>
      <c r="E32">
        <v>0</v>
      </c>
      <c r="F32">
        <v>100</v>
      </c>
      <c r="G32">
        <v>80</v>
      </c>
    </row>
    <row r="33" spans="1:7" x14ac:dyDescent="0.35">
      <c r="A33" t="s">
        <v>26</v>
      </c>
      <c r="B33">
        <v>2032</v>
      </c>
      <c r="C33">
        <v>2</v>
      </c>
      <c r="D33">
        <v>5.2</v>
      </c>
      <c r="E33">
        <v>7.6923076923076927E-2</v>
      </c>
      <c r="F33">
        <v>92.307692307692307</v>
      </c>
      <c r="G33">
        <v>80</v>
      </c>
    </row>
    <row r="34" spans="1:7" x14ac:dyDescent="0.35">
      <c r="A34" t="s">
        <v>26</v>
      </c>
      <c r="B34">
        <v>2033</v>
      </c>
      <c r="C34">
        <v>0</v>
      </c>
      <c r="D34">
        <v>5.2</v>
      </c>
      <c r="E34">
        <v>0</v>
      </c>
      <c r="F34">
        <v>100</v>
      </c>
      <c r="G34">
        <v>80</v>
      </c>
    </row>
    <row r="35" spans="1:7" x14ac:dyDescent="0.35">
      <c r="A35" t="s">
        <v>26</v>
      </c>
      <c r="B35">
        <v>2034</v>
      </c>
      <c r="C35">
        <v>2</v>
      </c>
      <c r="D35">
        <v>5.2</v>
      </c>
      <c r="E35">
        <v>7.6923076923076927E-2</v>
      </c>
      <c r="F35">
        <v>92.307692307692307</v>
      </c>
      <c r="G35">
        <v>80</v>
      </c>
    </row>
    <row r="36" spans="1:7" x14ac:dyDescent="0.35">
      <c r="A36" t="s">
        <v>26</v>
      </c>
      <c r="B36">
        <v>2035</v>
      </c>
      <c r="C36">
        <v>1</v>
      </c>
      <c r="D36">
        <v>5.2</v>
      </c>
      <c r="E36">
        <v>3.8461538461538457E-2</v>
      </c>
      <c r="F36">
        <v>96.15384615384616</v>
      </c>
      <c r="G36">
        <v>80</v>
      </c>
    </row>
    <row r="37" spans="1:7" x14ac:dyDescent="0.35">
      <c r="A37" t="s">
        <v>26</v>
      </c>
      <c r="B37">
        <v>2036</v>
      </c>
      <c r="C37">
        <v>2</v>
      </c>
      <c r="D37">
        <v>5.2</v>
      </c>
      <c r="E37">
        <v>7.6923076923076927E-2</v>
      </c>
      <c r="F37">
        <v>92.307692307692307</v>
      </c>
      <c r="G37">
        <v>80</v>
      </c>
    </row>
    <row r="38" spans="1:7" x14ac:dyDescent="0.35">
      <c r="A38" t="s">
        <v>26</v>
      </c>
      <c r="B38">
        <v>2037</v>
      </c>
      <c r="C38">
        <v>4</v>
      </c>
      <c r="D38">
        <v>5.2</v>
      </c>
      <c r="E38">
        <v>0.15384615384615391</v>
      </c>
      <c r="F38">
        <v>84.615384615384599</v>
      </c>
      <c r="G38">
        <v>80</v>
      </c>
    </row>
    <row r="39" spans="1:7" x14ac:dyDescent="0.35">
      <c r="A39" t="s">
        <v>26</v>
      </c>
      <c r="B39">
        <v>2038</v>
      </c>
      <c r="C39">
        <v>3</v>
      </c>
      <c r="D39">
        <v>5.2</v>
      </c>
      <c r="E39">
        <v>0.1153846153846154</v>
      </c>
      <c r="F39">
        <v>88.461538461538453</v>
      </c>
      <c r="G39">
        <v>80</v>
      </c>
    </row>
    <row r="40" spans="1:7" x14ac:dyDescent="0.35">
      <c r="A40" t="s">
        <v>26</v>
      </c>
      <c r="B40">
        <v>2039</v>
      </c>
      <c r="C40">
        <v>3</v>
      </c>
      <c r="D40">
        <v>5.2</v>
      </c>
      <c r="E40">
        <v>0.1153846153846154</v>
      </c>
      <c r="F40">
        <v>88.461538461538453</v>
      </c>
      <c r="G40">
        <v>80</v>
      </c>
    </row>
    <row r="41" spans="1:7" x14ac:dyDescent="0.35">
      <c r="A41" t="s">
        <v>26</v>
      </c>
      <c r="B41">
        <v>2040</v>
      </c>
      <c r="C41">
        <v>5</v>
      </c>
      <c r="D41">
        <v>5.2</v>
      </c>
      <c r="E41">
        <v>0.19230769230769229</v>
      </c>
      <c r="F41">
        <v>80.769230769230774</v>
      </c>
      <c r="G41">
        <v>80</v>
      </c>
    </row>
    <row r="42" spans="1:7" x14ac:dyDescent="0.35">
      <c r="A42" t="s">
        <v>26</v>
      </c>
      <c r="B42">
        <v>2041</v>
      </c>
      <c r="C42">
        <v>0</v>
      </c>
      <c r="D42">
        <v>5.2</v>
      </c>
      <c r="E42">
        <v>0</v>
      </c>
      <c r="F42">
        <v>100</v>
      </c>
      <c r="G42">
        <v>80</v>
      </c>
    </row>
    <row r="43" spans="1:7" x14ac:dyDescent="0.35">
      <c r="A43" t="s">
        <v>26</v>
      </c>
      <c r="B43">
        <v>2042</v>
      </c>
      <c r="C43">
        <v>2</v>
      </c>
      <c r="D43">
        <v>5.2</v>
      </c>
      <c r="E43">
        <v>7.6923076923076927E-2</v>
      </c>
      <c r="F43">
        <v>92.307692307692307</v>
      </c>
      <c r="G43">
        <v>80</v>
      </c>
    </row>
    <row r="44" spans="1:7" x14ac:dyDescent="0.35">
      <c r="A44" t="s">
        <v>26</v>
      </c>
      <c r="B44">
        <v>2043</v>
      </c>
      <c r="C44">
        <v>0</v>
      </c>
      <c r="D44">
        <v>5.2</v>
      </c>
      <c r="E44">
        <v>0</v>
      </c>
      <c r="F44">
        <v>100</v>
      </c>
      <c r="G44">
        <v>80</v>
      </c>
    </row>
    <row r="45" spans="1:7" x14ac:dyDescent="0.35">
      <c r="A45" t="s">
        <v>26</v>
      </c>
      <c r="B45">
        <v>2044</v>
      </c>
      <c r="C45">
        <v>0</v>
      </c>
      <c r="D45">
        <v>5.2</v>
      </c>
      <c r="E45">
        <v>0</v>
      </c>
      <c r="F45">
        <v>100</v>
      </c>
      <c r="G45">
        <v>80</v>
      </c>
    </row>
    <row r="46" spans="1:7" x14ac:dyDescent="0.35">
      <c r="A46" t="s">
        <v>26</v>
      </c>
      <c r="B46">
        <v>2045</v>
      </c>
      <c r="C46">
        <v>2</v>
      </c>
      <c r="D46">
        <v>5.2</v>
      </c>
      <c r="E46">
        <v>7.6923076923076927E-2</v>
      </c>
      <c r="F46">
        <v>92.307692307692307</v>
      </c>
      <c r="G46">
        <v>80</v>
      </c>
    </row>
    <row r="47" spans="1:7" x14ac:dyDescent="0.35">
      <c r="A47" t="s">
        <v>26</v>
      </c>
      <c r="B47">
        <v>2046</v>
      </c>
      <c r="C47">
        <v>3</v>
      </c>
      <c r="D47">
        <v>5.2</v>
      </c>
      <c r="E47">
        <v>0.1153846153846154</v>
      </c>
      <c r="F47">
        <v>88.461538461538453</v>
      </c>
      <c r="G47">
        <v>80</v>
      </c>
    </row>
    <row r="48" spans="1:7" x14ac:dyDescent="0.35">
      <c r="A48" t="s">
        <v>26</v>
      </c>
      <c r="B48">
        <v>2047</v>
      </c>
      <c r="C48">
        <v>1</v>
      </c>
      <c r="D48">
        <v>5.2</v>
      </c>
      <c r="E48">
        <v>3.8461538461538457E-2</v>
      </c>
      <c r="F48">
        <v>96.15384615384616</v>
      </c>
      <c r="G48">
        <v>80</v>
      </c>
    </row>
    <row r="49" spans="1:7" x14ac:dyDescent="0.35">
      <c r="A49" t="s">
        <v>26</v>
      </c>
      <c r="B49">
        <v>2048</v>
      </c>
      <c r="C49">
        <v>3</v>
      </c>
      <c r="D49">
        <v>5.2</v>
      </c>
      <c r="E49">
        <v>0.1153846153846154</v>
      </c>
      <c r="F49">
        <v>88.461538461538453</v>
      </c>
      <c r="G49">
        <v>80</v>
      </c>
    </row>
    <row r="50" spans="1:7" x14ac:dyDescent="0.35">
      <c r="A50" t="s">
        <v>26</v>
      </c>
      <c r="B50">
        <v>2049</v>
      </c>
      <c r="C50">
        <v>4</v>
      </c>
      <c r="D50">
        <v>5.2</v>
      </c>
      <c r="E50">
        <v>0.15384615384615391</v>
      </c>
      <c r="F50">
        <v>84.615384615384599</v>
      </c>
      <c r="G50">
        <v>80</v>
      </c>
    </row>
    <row r="51" spans="1:7" x14ac:dyDescent="0.35">
      <c r="A51" t="s">
        <v>26</v>
      </c>
      <c r="B51">
        <v>2050</v>
      </c>
      <c r="C51">
        <v>4</v>
      </c>
      <c r="D51">
        <v>5.2</v>
      </c>
      <c r="E51">
        <v>0.15384615384615391</v>
      </c>
      <c r="F51">
        <v>84.615384615384599</v>
      </c>
      <c r="G51">
        <v>80</v>
      </c>
    </row>
    <row r="52" spans="1:7" x14ac:dyDescent="0.35">
      <c r="A52" t="s">
        <v>21</v>
      </c>
      <c r="B52">
        <v>2026</v>
      </c>
      <c r="C52">
        <v>3</v>
      </c>
      <c r="D52">
        <v>5.8</v>
      </c>
      <c r="E52">
        <v>0.10344827586206901</v>
      </c>
      <c r="F52">
        <v>89.65517241379311</v>
      </c>
      <c r="G52">
        <v>80</v>
      </c>
    </row>
    <row r="53" spans="1:7" x14ac:dyDescent="0.35">
      <c r="A53" t="s">
        <v>21</v>
      </c>
      <c r="B53">
        <v>2027</v>
      </c>
      <c r="C53">
        <v>5</v>
      </c>
      <c r="D53">
        <v>5.8000000000000007</v>
      </c>
      <c r="E53">
        <v>0.17241379310344829</v>
      </c>
      <c r="F53">
        <v>82.758620689655174</v>
      </c>
      <c r="G53">
        <v>80</v>
      </c>
    </row>
    <row r="54" spans="1:7" x14ac:dyDescent="0.35">
      <c r="A54" t="s">
        <v>21</v>
      </c>
      <c r="B54">
        <v>2028</v>
      </c>
      <c r="C54">
        <v>5</v>
      </c>
      <c r="D54">
        <v>5.8000000000000007</v>
      </c>
      <c r="E54">
        <v>0.17241379310344829</v>
      </c>
      <c r="F54">
        <v>82.758620689655174</v>
      </c>
      <c r="G54">
        <v>80</v>
      </c>
    </row>
    <row r="55" spans="1:7" x14ac:dyDescent="0.35">
      <c r="A55" t="s">
        <v>21</v>
      </c>
      <c r="B55">
        <v>2029</v>
      </c>
      <c r="C55">
        <v>5</v>
      </c>
      <c r="D55">
        <v>5.8000000000000007</v>
      </c>
      <c r="E55">
        <v>0.17241379310344829</v>
      </c>
      <c r="F55">
        <v>82.758620689655174</v>
      </c>
      <c r="G55">
        <v>80</v>
      </c>
    </row>
    <row r="56" spans="1:7" x14ac:dyDescent="0.35">
      <c r="A56" t="s">
        <v>21</v>
      </c>
      <c r="B56">
        <v>2030</v>
      </c>
      <c r="C56">
        <v>5</v>
      </c>
      <c r="D56">
        <v>5.8000000000000007</v>
      </c>
      <c r="E56">
        <v>0.17241379310344829</v>
      </c>
      <c r="F56">
        <v>82.758620689655174</v>
      </c>
      <c r="G56">
        <v>80</v>
      </c>
    </row>
    <row r="57" spans="1:7" x14ac:dyDescent="0.35">
      <c r="A57" t="s">
        <v>21</v>
      </c>
      <c r="B57">
        <v>2031</v>
      </c>
      <c r="C57">
        <v>2</v>
      </c>
      <c r="D57">
        <v>5.8000000000000007</v>
      </c>
      <c r="E57">
        <v>6.8965517241379309E-2</v>
      </c>
      <c r="F57">
        <v>93.103448275862064</v>
      </c>
      <c r="G57">
        <v>80</v>
      </c>
    </row>
    <row r="58" spans="1:7" x14ac:dyDescent="0.35">
      <c r="A58" t="s">
        <v>21</v>
      </c>
      <c r="B58">
        <v>2032</v>
      </c>
      <c r="C58">
        <v>1</v>
      </c>
      <c r="D58">
        <v>5.8000000000000007</v>
      </c>
      <c r="E58">
        <v>3.4482758620689648E-2</v>
      </c>
      <c r="F58">
        <v>96.551724137931032</v>
      </c>
      <c r="G58">
        <v>80</v>
      </c>
    </row>
    <row r="59" spans="1:7" x14ac:dyDescent="0.35">
      <c r="A59" t="s">
        <v>21</v>
      </c>
      <c r="B59">
        <v>2033</v>
      </c>
      <c r="C59">
        <v>2</v>
      </c>
      <c r="D59">
        <v>5.8000000000000007</v>
      </c>
      <c r="E59">
        <v>6.8965517241379309E-2</v>
      </c>
      <c r="F59">
        <v>93.103448275862064</v>
      </c>
      <c r="G59">
        <v>80</v>
      </c>
    </row>
    <row r="60" spans="1:7" x14ac:dyDescent="0.35">
      <c r="A60" t="s">
        <v>21</v>
      </c>
      <c r="B60">
        <v>2034</v>
      </c>
      <c r="C60">
        <v>2</v>
      </c>
      <c r="D60">
        <v>5.8000000000000007</v>
      </c>
      <c r="E60">
        <v>6.8965517241379309E-2</v>
      </c>
      <c r="F60">
        <v>93.103448275862064</v>
      </c>
      <c r="G60">
        <v>80</v>
      </c>
    </row>
    <row r="61" spans="1:7" x14ac:dyDescent="0.35">
      <c r="A61" t="s">
        <v>21</v>
      </c>
      <c r="B61">
        <v>2035</v>
      </c>
      <c r="C61">
        <v>2</v>
      </c>
      <c r="D61">
        <v>5.8000000000000007</v>
      </c>
      <c r="E61">
        <v>6.8965517241379309E-2</v>
      </c>
      <c r="F61">
        <v>93.103448275862064</v>
      </c>
      <c r="G61">
        <v>80</v>
      </c>
    </row>
    <row r="62" spans="1:7" x14ac:dyDescent="0.35">
      <c r="A62" t="s">
        <v>21</v>
      </c>
      <c r="B62">
        <v>2036</v>
      </c>
      <c r="C62">
        <v>2</v>
      </c>
      <c r="D62">
        <v>5.8000000000000007</v>
      </c>
      <c r="E62">
        <v>6.8965517241379309E-2</v>
      </c>
      <c r="F62">
        <v>93.103448275862064</v>
      </c>
      <c r="G62">
        <v>80</v>
      </c>
    </row>
    <row r="63" spans="1:7" x14ac:dyDescent="0.35">
      <c r="A63" t="s">
        <v>21</v>
      </c>
      <c r="B63">
        <v>2037</v>
      </c>
      <c r="C63">
        <v>1</v>
      </c>
      <c r="D63">
        <v>5.8000000000000007</v>
      </c>
      <c r="E63">
        <v>3.4482758620689648E-2</v>
      </c>
      <c r="F63">
        <v>96.551724137931032</v>
      </c>
      <c r="G63">
        <v>80</v>
      </c>
    </row>
    <row r="64" spans="1:7" x14ac:dyDescent="0.35">
      <c r="A64" t="s">
        <v>21</v>
      </c>
      <c r="B64">
        <v>2038</v>
      </c>
      <c r="C64">
        <v>1</v>
      </c>
      <c r="D64">
        <v>5.8000000000000007</v>
      </c>
      <c r="E64">
        <v>3.4482758620689648E-2</v>
      </c>
      <c r="F64">
        <v>96.551724137931032</v>
      </c>
      <c r="G64">
        <v>80</v>
      </c>
    </row>
    <row r="65" spans="1:7" x14ac:dyDescent="0.35">
      <c r="A65" t="s">
        <v>21</v>
      </c>
      <c r="B65">
        <v>2039</v>
      </c>
      <c r="C65">
        <v>3</v>
      </c>
      <c r="D65">
        <v>5.8000000000000007</v>
      </c>
      <c r="E65">
        <v>0.10344827586206901</v>
      </c>
      <c r="F65">
        <v>89.65517241379311</v>
      </c>
      <c r="G65">
        <v>80</v>
      </c>
    </row>
    <row r="66" spans="1:7" x14ac:dyDescent="0.35">
      <c r="A66" t="s">
        <v>21</v>
      </c>
      <c r="B66">
        <v>2040</v>
      </c>
      <c r="C66">
        <v>3</v>
      </c>
      <c r="D66">
        <v>5.8000000000000007</v>
      </c>
      <c r="E66">
        <v>0.10344827586206901</v>
      </c>
      <c r="F66">
        <v>89.65517241379311</v>
      </c>
      <c r="G66">
        <v>80</v>
      </c>
    </row>
    <row r="67" spans="1:7" x14ac:dyDescent="0.35">
      <c r="A67" t="s">
        <v>21</v>
      </c>
      <c r="B67">
        <v>2041</v>
      </c>
      <c r="C67">
        <v>1</v>
      </c>
      <c r="D67">
        <v>5.8000000000000007</v>
      </c>
      <c r="E67">
        <v>3.4482758620689648E-2</v>
      </c>
      <c r="F67">
        <v>96.551724137931032</v>
      </c>
      <c r="G67">
        <v>80</v>
      </c>
    </row>
    <row r="68" spans="1:7" x14ac:dyDescent="0.35">
      <c r="A68" t="s">
        <v>21</v>
      </c>
      <c r="B68">
        <v>2042</v>
      </c>
      <c r="C68">
        <v>0</v>
      </c>
      <c r="D68">
        <v>5.8000000000000007</v>
      </c>
      <c r="E68">
        <v>0</v>
      </c>
      <c r="F68">
        <v>100</v>
      </c>
      <c r="G68">
        <v>80</v>
      </c>
    </row>
    <row r="69" spans="1:7" x14ac:dyDescent="0.35">
      <c r="A69" t="s">
        <v>21</v>
      </c>
      <c r="B69">
        <v>2043</v>
      </c>
      <c r="C69">
        <v>2</v>
      </c>
      <c r="D69">
        <v>5.8000000000000007</v>
      </c>
      <c r="E69">
        <v>6.8965517241379309E-2</v>
      </c>
      <c r="F69">
        <v>93.103448275862064</v>
      </c>
      <c r="G69">
        <v>80</v>
      </c>
    </row>
    <row r="70" spans="1:7" x14ac:dyDescent="0.35">
      <c r="A70" t="s">
        <v>21</v>
      </c>
      <c r="B70">
        <v>2044</v>
      </c>
      <c r="C70">
        <v>2</v>
      </c>
      <c r="D70">
        <v>5.8000000000000007</v>
      </c>
      <c r="E70">
        <v>6.8965517241379309E-2</v>
      </c>
      <c r="F70">
        <v>93.103448275862064</v>
      </c>
      <c r="G70">
        <v>80</v>
      </c>
    </row>
    <row r="71" spans="1:7" x14ac:dyDescent="0.35">
      <c r="A71" t="s">
        <v>21</v>
      </c>
      <c r="B71">
        <v>2045</v>
      </c>
      <c r="C71">
        <v>1</v>
      </c>
      <c r="D71">
        <v>5.8000000000000007</v>
      </c>
      <c r="E71">
        <v>3.4482758620689648E-2</v>
      </c>
      <c r="F71">
        <v>96.551724137931032</v>
      </c>
      <c r="G71">
        <v>80</v>
      </c>
    </row>
    <row r="72" spans="1:7" x14ac:dyDescent="0.35">
      <c r="A72" t="s">
        <v>21</v>
      </c>
      <c r="B72">
        <v>2046</v>
      </c>
      <c r="C72">
        <v>1</v>
      </c>
      <c r="D72">
        <v>5.8000000000000007</v>
      </c>
      <c r="E72">
        <v>3.4482758620689648E-2</v>
      </c>
      <c r="F72">
        <v>96.551724137931032</v>
      </c>
      <c r="G72">
        <v>80</v>
      </c>
    </row>
    <row r="73" spans="1:7" x14ac:dyDescent="0.35">
      <c r="A73" t="s">
        <v>21</v>
      </c>
      <c r="B73">
        <v>2047</v>
      </c>
      <c r="C73">
        <v>2</v>
      </c>
      <c r="D73">
        <v>5.8000000000000007</v>
      </c>
      <c r="E73">
        <v>6.8965517241379309E-2</v>
      </c>
      <c r="F73">
        <v>93.103448275862064</v>
      </c>
      <c r="G73">
        <v>80</v>
      </c>
    </row>
    <row r="74" spans="1:7" x14ac:dyDescent="0.35">
      <c r="A74" t="s">
        <v>21</v>
      </c>
      <c r="B74">
        <v>2048</v>
      </c>
      <c r="C74">
        <v>3</v>
      </c>
      <c r="D74">
        <v>5.8000000000000007</v>
      </c>
      <c r="E74">
        <v>0.10344827586206901</v>
      </c>
      <c r="F74">
        <v>89.65517241379311</v>
      </c>
      <c r="G74">
        <v>80</v>
      </c>
    </row>
    <row r="75" spans="1:7" x14ac:dyDescent="0.35">
      <c r="A75" t="s">
        <v>21</v>
      </c>
      <c r="B75">
        <v>2049</v>
      </c>
      <c r="C75">
        <v>1</v>
      </c>
      <c r="D75">
        <v>5.8000000000000007</v>
      </c>
      <c r="E75">
        <v>3.4482758620689648E-2</v>
      </c>
      <c r="F75">
        <v>96.551724137931032</v>
      </c>
      <c r="G75">
        <v>80</v>
      </c>
    </row>
    <row r="76" spans="1:7" x14ac:dyDescent="0.35">
      <c r="A76" t="s">
        <v>21</v>
      </c>
      <c r="B76">
        <v>2050</v>
      </c>
      <c r="C76">
        <v>2</v>
      </c>
      <c r="D76">
        <v>5.8000000000000007</v>
      </c>
      <c r="E76">
        <v>6.8965517241379309E-2</v>
      </c>
      <c r="F76">
        <v>93.103448275862064</v>
      </c>
      <c r="G76">
        <v>80</v>
      </c>
    </row>
    <row r="77" spans="1:7" x14ac:dyDescent="0.35">
      <c r="A77" t="s">
        <v>12</v>
      </c>
      <c r="B77">
        <v>2026</v>
      </c>
      <c r="C77">
        <v>2</v>
      </c>
      <c r="D77">
        <v>3</v>
      </c>
      <c r="E77">
        <v>0.1333333333333333</v>
      </c>
      <c r="F77">
        <v>86.666666666666671</v>
      </c>
      <c r="G77">
        <v>80</v>
      </c>
    </row>
    <row r="78" spans="1:7" x14ac:dyDescent="0.35">
      <c r="A78" t="s">
        <v>12</v>
      </c>
      <c r="B78">
        <v>2027</v>
      </c>
      <c r="C78">
        <v>3</v>
      </c>
      <c r="D78">
        <v>3</v>
      </c>
      <c r="E78">
        <v>0.2</v>
      </c>
      <c r="F78">
        <v>80</v>
      </c>
      <c r="G78">
        <v>80</v>
      </c>
    </row>
    <row r="79" spans="1:7" x14ac:dyDescent="0.35">
      <c r="A79" t="s">
        <v>12</v>
      </c>
      <c r="B79">
        <v>2028</v>
      </c>
      <c r="C79">
        <v>3</v>
      </c>
      <c r="D79">
        <v>3</v>
      </c>
      <c r="E79">
        <v>0.2</v>
      </c>
      <c r="F79">
        <v>80</v>
      </c>
      <c r="G79">
        <v>80</v>
      </c>
    </row>
    <row r="80" spans="1:7" x14ac:dyDescent="0.35">
      <c r="A80" t="s">
        <v>12</v>
      </c>
      <c r="B80">
        <v>2029</v>
      </c>
      <c r="C80">
        <v>2</v>
      </c>
      <c r="D80">
        <v>3</v>
      </c>
      <c r="E80">
        <v>0.1333333333333333</v>
      </c>
      <c r="F80">
        <v>86.666666666666671</v>
      </c>
      <c r="G80">
        <v>80</v>
      </c>
    </row>
    <row r="81" spans="1:7" x14ac:dyDescent="0.35">
      <c r="A81" t="s">
        <v>12</v>
      </c>
      <c r="B81">
        <v>2030</v>
      </c>
      <c r="C81">
        <v>2</v>
      </c>
      <c r="D81">
        <v>3</v>
      </c>
      <c r="E81">
        <v>0.1333333333333333</v>
      </c>
      <c r="F81">
        <v>86.666666666666671</v>
      </c>
      <c r="G81">
        <v>80</v>
      </c>
    </row>
    <row r="82" spans="1:7" x14ac:dyDescent="0.35">
      <c r="A82" t="s">
        <v>12</v>
      </c>
      <c r="B82">
        <v>2031</v>
      </c>
      <c r="C82">
        <v>2</v>
      </c>
      <c r="D82">
        <v>3</v>
      </c>
      <c r="E82">
        <v>0.1333333333333333</v>
      </c>
      <c r="F82">
        <v>86.666666666666671</v>
      </c>
      <c r="G82">
        <v>80</v>
      </c>
    </row>
    <row r="83" spans="1:7" x14ac:dyDescent="0.35">
      <c r="A83" t="s">
        <v>12</v>
      </c>
      <c r="B83">
        <v>2032</v>
      </c>
      <c r="C83">
        <v>3</v>
      </c>
      <c r="D83">
        <v>3</v>
      </c>
      <c r="E83">
        <v>0.2</v>
      </c>
      <c r="F83">
        <v>80</v>
      </c>
      <c r="G83">
        <v>80</v>
      </c>
    </row>
    <row r="84" spans="1:7" x14ac:dyDescent="0.35">
      <c r="A84" t="s">
        <v>12</v>
      </c>
      <c r="B84">
        <v>2033</v>
      </c>
      <c r="C84">
        <v>0</v>
      </c>
      <c r="D84">
        <v>3</v>
      </c>
      <c r="E84">
        <v>0</v>
      </c>
      <c r="F84">
        <v>100</v>
      </c>
      <c r="G84">
        <v>80</v>
      </c>
    </row>
    <row r="85" spans="1:7" x14ac:dyDescent="0.35">
      <c r="A85" t="s">
        <v>12</v>
      </c>
      <c r="B85">
        <v>2034</v>
      </c>
      <c r="C85">
        <v>1</v>
      </c>
      <c r="D85">
        <v>3</v>
      </c>
      <c r="E85">
        <v>6.6666666666666666E-2</v>
      </c>
      <c r="F85">
        <v>93.333333333333329</v>
      </c>
      <c r="G85">
        <v>80</v>
      </c>
    </row>
    <row r="86" spans="1:7" x14ac:dyDescent="0.35">
      <c r="A86" t="s">
        <v>12</v>
      </c>
      <c r="B86">
        <v>2035</v>
      </c>
      <c r="C86">
        <v>1</v>
      </c>
      <c r="D86">
        <v>3</v>
      </c>
      <c r="E86">
        <v>6.6666666666666666E-2</v>
      </c>
      <c r="F86">
        <v>93.333333333333329</v>
      </c>
      <c r="G86">
        <v>80</v>
      </c>
    </row>
    <row r="87" spans="1:7" x14ac:dyDescent="0.35">
      <c r="A87" t="s">
        <v>12</v>
      </c>
      <c r="B87">
        <v>2036</v>
      </c>
      <c r="C87">
        <v>2</v>
      </c>
      <c r="D87">
        <v>3</v>
      </c>
      <c r="E87">
        <v>0.1333333333333333</v>
      </c>
      <c r="F87">
        <v>86.666666666666671</v>
      </c>
      <c r="G87">
        <v>80</v>
      </c>
    </row>
    <row r="88" spans="1:7" x14ac:dyDescent="0.35">
      <c r="A88" t="s">
        <v>12</v>
      </c>
      <c r="B88">
        <v>2037</v>
      </c>
      <c r="C88">
        <v>0</v>
      </c>
      <c r="D88">
        <v>3</v>
      </c>
      <c r="E88">
        <v>0</v>
      </c>
      <c r="F88">
        <v>100</v>
      </c>
      <c r="G88">
        <v>80</v>
      </c>
    </row>
    <row r="89" spans="1:7" x14ac:dyDescent="0.35">
      <c r="A89" t="s">
        <v>12</v>
      </c>
      <c r="B89">
        <v>2038</v>
      </c>
      <c r="C89">
        <v>0</v>
      </c>
      <c r="D89">
        <v>3</v>
      </c>
      <c r="E89">
        <v>0</v>
      </c>
      <c r="F89">
        <v>100</v>
      </c>
      <c r="G89">
        <v>80</v>
      </c>
    </row>
    <row r="90" spans="1:7" x14ac:dyDescent="0.35">
      <c r="A90" t="s">
        <v>12</v>
      </c>
      <c r="B90">
        <v>2039</v>
      </c>
      <c r="C90">
        <v>3</v>
      </c>
      <c r="D90">
        <v>3</v>
      </c>
      <c r="E90">
        <v>0.2</v>
      </c>
      <c r="F90">
        <v>80</v>
      </c>
      <c r="G90">
        <v>80</v>
      </c>
    </row>
    <row r="91" spans="1:7" x14ac:dyDescent="0.35">
      <c r="A91" t="s">
        <v>12</v>
      </c>
      <c r="B91">
        <v>2040</v>
      </c>
      <c r="C91">
        <v>1</v>
      </c>
      <c r="D91">
        <v>3</v>
      </c>
      <c r="E91">
        <v>6.6666666666666666E-2</v>
      </c>
      <c r="F91">
        <v>93.333333333333329</v>
      </c>
      <c r="G91">
        <v>80</v>
      </c>
    </row>
    <row r="92" spans="1:7" x14ac:dyDescent="0.35">
      <c r="A92" t="s">
        <v>12</v>
      </c>
      <c r="B92">
        <v>2041</v>
      </c>
      <c r="C92">
        <v>0</v>
      </c>
      <c r="D92">
        <v>3</v>
      </c>
      <c r="E92">
        <v>0</v>
      </c>
      <c r="F92">
        <v>100</v>
      </c>
      <c r="G92">
        <v>80</v>
      </c>
    </row>
    <row r="93" spans="1:7" x14ac:dyDescent="0.35">
      <c r="A93" t="s">
        <v>12</v>
      </c>
      <c r="B93">
        <v>2042</v>
      </c>
      <c r="C93">
        <v>1</v>
      </c>
      <c r="D93">
        <v>3</v>
      </c>
      <c r="E93">
        <v>6.6666666666666666E-2</v>
      </c>
      <c r="F93">
        <v>93.333333333333329</v>
      </c>
      <c r="G93">
        <v>80</v>
      </c>
    </row>
    <row r="94" spans="1:7" x14ac:dyDescent="0.35">
      <c r="A94" t="s">
        <v>12</v>
      </c>
      <c r="B94">
        <v>2043</v>
      </c>
      <c r="C94">
        <v>2</v>
      </c>
      <c r="D94">
        <v>3</v>
      </c>
      <c r="E94">
        <v>0.1333333333333333</v>
      </c>
      <c r="F94">
        <v>86.666666666666671</v>
      </c>
      <c r="G94">
        <v>80</v>
      </c>
    </row>
    <row r="95" spans="1:7" x14ac:dyDescent="0.35">
      <c r="A95" t="s">
        <v>12</v>
      </c>
      <c r="B95">
        <v>2044</v>
      </c>
      <c r="C95">
        <v>2</v>
      </c>
      <c r="D95">
        <v>3</v>
      </c>
      <c r="E95">
        <v>0.1333333333333333</v>
      </c>
      <c r="F95">
        <v>86.666666666666671</v>
      </c>
      <c r="G95">
        <v>80</v>
      </c>
    </row>
    <row r="96" spans="1:7" x14ac:dyDescent="0.35">
      <c r="A96" t="s">
        <v>12</v>
      </c>
      <c r="B96">
        <v>2045</v>
      </c>
      <c r="C96">
        <v>1</v>
      </c>
      <c r="D96">
        <v>3</v>
      </c>
      <c r="E96">
        <v>6.6666666666666666E-2</v>
      </c>
      <c r="F96">
        <v>93.333333333333329</v>
      </c>
      <c r="G96">
        <v>80</v>
      </c>
    </row>
    <row r="97" spans="1:7" x14ac:dyDescent="0.35">
      <c r="A97" t="s">
        <v>12</v>
      </c>
      <c r="B97">
        <v>2046</v>
      </c>
      <c r="C97">
        <v>0</v>
      </c>
      <c r="D97">
        <v>3</v>
      </c>
      <c r="E97">
        <v>0</v>
      </c>
      <c r="F97">
        <v>100</v>
      </c>
      <c r="G97">
        <v>80</v>
      </c>
    </row>
    <row r="98" spans="1:7" x14ac:dyDescent="0.35">
      <c r="A98" t="s">
        <v>12</v>
      </c>
      <c r="B98">
        <v>2047</v>
      </c>
      <c r="C98">
        <v>1</v>
      </c>
      <c r="D98">
        <v>3</v>
      </c>
      <c r="E98">
        <v>6.6666666666666666E-2</v>
      </c>
      <c r="F98">
        <v>93.333333333333329</v>
      </c>
      <c r="G98">
        <v>80</v>
      </c>
    </row>
    <row r="99" spans="1:7" x14ac:dyDescent="0.35">
      <c r="A99" t="s">
        <v>12</v>
      </c>
      <c r="B99">
        <v>2048</v>
      </c>
      <c r="C99">
        <v>0</v>
      </c>
      <c r="D99">
        <v>3</v>
      </c>
      <c r="E99">
        <v>0</v>
      </c>
      <c r="F99">
        <v>100</v>
      </c>
      <c r="G99">
        <v>80</v>
      </c>
    </row>
    <row r="100" spans="1:7" x14ac:dyDescent="0.35">
      <c r="A100" t="s">
        <v>12</v>
      </c>
      <c r="B100">
        <v>2049</v>
      </c>
      <c r="C100">
        <v>0</v>
      </c>
      <c r="D100">
        <v>3</v>
      </c>
      <c r="E100">
        <v>0</v>
      </c>
      <c r="F100">
        <v>100</v>
      </c>
      <c r="G100">
        <v>80</v>
      </c>
    </row>
    <row r="101" spans="1:7" x14ac:dyDescent="0.35">
      <c r="A101" t="s">
        <v>12</v>
      </c>
      <c r="B101">
        <v>2050</v>
      </c>
      <c r="C101">
        <v>1</v>
      </c>
      <c r="D101">
        <v>3</v>
      </c>
      <c r="E101">
        <v>6.6666666666666666E-2</v>
      </c>
      <c r="F101">
        <v>93.333333333333329</v>
      </c>
      <c r="G101">
        <v>80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transitions</vt:lpstr>
      <vt:lpstr>timeline_renovations</vt:lpstr>
      <vt:lpstr>timeline_travaux</vt:lpstr>
      <vt:lpstr>stats_annees</vt:lpstr>
      <vt:lpstr>availability_by_category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Ibn Seddik (Student at CentraleSupelec)</cp:lastModifiedBy>
  <dcterms:created xsi:type="dcterms:W3CDTF">2026-03-13T15:04:32Z</dcterms:created>
  <dcterms:modified xsi:type="dcterms:W3CDTF">2026-03-14T09:13:07Z</dcterms:modified>
</cp:coreProperties>
</file>