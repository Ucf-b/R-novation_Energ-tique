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uss\Desktop\Projet ST7 OSTP SIA\sia_efficacity_projet_st7\Analyse_gain_maximal\"/>
    </mc:Choice>
  </mc:AlternateContent>
  <xr:revisionPtr revIDLastSave="0" documentId="13_ncr:1_{6DF6F378-82A6-4908-9026-03885E4E3F5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ésumé" sheetId="1" r:id="rId1"/>
    <sheet name="Meilleures rénovations" sheetId="2" r:id="rId2"/>
    <sheet name="Calculateur Sobriét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10" i="3" s="1"/>
  <c r="B11" i="3" s="1"/>
  <c r="B12" i="3" s="1"/>
  <c r="B17" i="3" l="1"/>
  <c r="B16" i="3"/>
  <c r="B15" i="3"/>
</calcChain>
</file>

<file path=xl/sharedStrings.xml><?xml version="1.0" encoding="utf-8"?>
<sst xmlns="http://schemas.openxmlformats.org/spreadsheetml/2006/main" count="173" uniqueCount="172">
  <si>
    <t>Métrique</t>
  </si>
  <si>
    <t>Valeur</t>
  </si>
  <si>
    <t>Consommation initiale (MWh/an)</t>
  </si>
  <si>
    <t>Gain maximal total (MWh/an)</t>
  </si>
  <si>
    <t>Consommation finale minimale (MWh/an)</t>
  </si>
  <si>
    <t>Coût total nécessaire (€)</t>
  </si>
  <si>
    <t>Réduction maximale sans sobriété (%)</t>
  </si>
  <si>
    <t>Réduction maximale avec sobriété (%)</t>
  </si>
  <si>
    <t>building</t>
  </si>
  <si>
    <t>best_simulation</t>
  </si>
  <si>
    <t>max_gain_mwh_an</t>
  </si>
  <si>
    <t>conso_apres_mwh_an</t>
  </si>
  <si>
    <t>cost_euros</t>
  </si>
  <si>
    <t>duration_months</t>
  </si>
  <si>
    <t>co2_reduction_tonnes</t>
  </si>
  <si>
    <t>roi_euros_per_mwh_an</t>
  </si>
  <si>
    <t>espace_michel_simon</t>
  </si>
  <si>
    <t>espace_michel_simon_simulation 10</t>
  </si>
  <si>
    <t>gs_joliot_curie</t>
  </si>
  <si>
    <t>gs_joliot_curie_simulation 9</t>
  </si>
  <si>
    <t>ateliers_municipaux_(ctm)</t>
  </si>
  <si>
    <t>ateliers_municipaux_(ctm)_simulation_9</t>
  </si>
  <si>
    <t>gs_jules_verne</t>
  </si>
  <si>
    <t>gs_jules_verne_simulation 10</t>
  </si>
  <si>
    <t>gs_les_noyers</t>
  </si>
  <si>
    <t>gs_les_noyers_simulation 10</t>
  </si>
  <si>
    <t>gs_la_varenne</t>
  </si>
  <si>
    <t>gs_la_varenne_simulation 10</t>
  </si>
  <si>
    <t>groupe_scolaire_les_coteaux</t>
  </si>
  <si>
    <t>groupe_scolaire_les_coteaux_simulation_10</t>
  </si>
  <si>
    <t>groupe_scolaire_les_richardets</t>
  </si>
  <si>
    <t>groupe_scolaire_les_richardets_simulation_1</t>
  </si>
  <si>
    <t>groupe_scolaire_paul_serelle</t>
  </si>
  <si>
    <t>groupe_scolaire_paul_serelle_simulation_1</t>
  </si>
  <si>
    <t>gs_les_abeilles</t>
  </si>
  <si>
    <t>gs_les_abeilles_simulation 10</t>
  </si>
  <si>
    <t>gs_les_yvris</t>
  </si>
  <si>
    <t>gs_les_yvris_simulation 10</t>
  </si>
  <si>
    <t>gs_celestin_freinet</t>
  </si>
  <si>
    <t>gs_celestin_freinet_simulation 10</t>
  </si>
  <si>
    <t>gs_george_brassens</t>
  </si>
  <si>
    <t>gs_george_brassens_simulation 8</t>
  </si>
  <si>
    <t>gs_jules_ferry</t>
  </si>
  <si>
    <t>gs_jules_ferry_simulation 10</t>
  </si>
  <si>
    <t>groupe_scolaire_des_hauts_bâtons</t>
  </si>
  <si>
    <t>groupe_scolaire_des_hauts_bâtons_simulation_9</t>
  </si>
  <si>
    <t>groupe_scolaire_robert_desnos</t>
  </si>
  <si>
    <t>groupe_scolaire_robert_desnos_simulation_10</t>
  </si>
  <si>
    <t>gs_van_gogh</t>
  </si>
  <si>
    <t>gs_van_gogh_simulation 10</t>
  </si>
  <si>
    <t>gymnase_louison_bobet</t>
  </si>
  <si>
    <t>gymnase_louison_bobet_simulation 10</t>
  </si>
  <si>
    <t>cinéma_le_bijou</t>
  </si>
  <si>
    <t>cinéma_le_bijou_simulation_7</t>
  </si>
  <si>
    <t>gs_alex_dumas</t>
  </si>
  <si>
    <t>gs_alex_dumas_simulation 10</t>
  </si>
  <si>
    <t>gymnase_de_la_butte_verte</t>
  </si>
  <si>
    <t>gymnase_de_la_butte_verte_simulation_8</t>
  </si>
  <si>
    <t>gymnase_les_yvris</t>
  </si>
  <si>
    <t>gymnase_les_yvris_simulation_10</t>
  </si>
  <si>
    <t>gs_clos_arche</t>
  </si>
  <si>
    <t>gs_clos_arche_simulation 10</t>
  </si>
  <si>
    <t>gymnase_la_varenne</t>
  </si>
  <si>
    <t>gymnase_la_varenne_simulation 10</t>
  </si>
  <si>
    <t>gymnase_champy</t>
  </si>
  <si>
    <t>gymnase_champy_simulation 10</t>
  </si>
  <si>
    <t>gs_clos_dambert</t>
  </si>
  <si>
    <t>gs_clos_dambert_simulation 10</t>
  </si>
  <si>
    <t>gs_les_charmilles</t>
  </si>
  <si>
    <t>gs_les_charmilles_simulation 10</t>
  </si>
  <si>
    <t>stade_municipal_des_bords_de_marne</t>
  </si>
  <si>
    <t>stade_municipal_des_bords_de_marne_simulation_10</t>
  </si>
  <si>
    <t>multi_accueil_jean_piaget</t>
  </si>
  <si>
    <t>multi_accueil_jean_piaget_simulation_7</t>
  </si>
  <si>
    <t>hangar_bleu</t>
  </si>
  <si>
    <t>hangar_bleu_simulation_9</t>
  </si>
  <si>
    <t>crèche_et_halte_du_marnois</t>
  </si>
  <si>
    <t>crèche_et_halte_du_marnois_simulation_10</t>
  </si>
  <si>
    <t>stade_alain_mimoun</t>
  </si>
  <si>
    <t>stade_alain_mimoun_simulation_10</t>
  </si>
  <si>
    <t>crèche_robert_debré</t>
  </si>
  <si>
    <t>crèche_robert_debré_simulation_10</t>
  </si>
  <si>
    <t>centre_aquatique_les_nymphéas</t>
  </si>
  <si>
    <t>centre_aquatique_les_nymphéas_simulation_1</t>
  </si>
  <si>
    <t>mpt_la_varenne</t>
  </si>
  <si>
    <t>mpt_la_varenne_simulation 10</t>
  </si>
  <si>
    <t>villa_cathala</t>
  </si>
  <si>
    <t>villa_cathala_simulation 10</t>
  </si>
  <si>
    <t>mpt_marcel_bou</t>
  </si>
  <si>
    <t>mpt_marcel_bou_simulation 10</t>
  </si>
  <si>
    <t>conservatoire_maurice_bacquet</t>
  </si>
  <si>
    <t>conservatoire_maurice_bacquet_simulation 10</t>
  </si>
  <si>
    <t>crèche_petit_prince</t>
  </si>
  <si>
    <t>crèche_petit_prince_simulation_4</t>
  </si>
  <si>
    <t>mpt_du_champy</t>
  </si>
  <si>
    <t>mpt_du_champy_simulation_10</t>
  </si>
  <si>
    <t>gymnase_les_coteaux</t>
  </si>
  <si>
    <t>gymnase_les_coteaux_simulation_9</t>
  </si>
  <si>
    <t>crèche_familiale_du_champy_-_relais_des_assistances_maternelles</t>
  </si>
  <si>
    <t>crèche_familiale_du_champy_-_relais_des_assistances_maternelles_simulation_8</t>
  </si>
  <si>
    <t>stade_suzanne_lenglen</t>
  </si>
  <si>
    <t>stade_suzanne_lenglen_simulation_10</t>
  </si>
  <si>
    <t>mpt_les_richardets</t>
  </si>
  <si>
    <t>mpt_les_richardets_simulation_10</t>
  </si>
  <si>
    <t>cdj_du_champy</t>
  </si>
  <si>
    <t>cdj_du_champy_simulation_8</t>
  </si>
  <si>
    <t>mpt_des_coteaux</t>
  </si>
  <si>
    <t>mpt_des_coteaux_simulation_13</t>
  </si>
  <si>
    <t>maison_des_services_publics_-_pimms</t>
  </si>
  <si>
    <t>maison_des_services_publics_-_pimms_simulation_13</t>
  </si>
  <si>
    <t>cdj_du_pave_neuf</t>
  </si>
  <si>
    <t>cdj_du_pave_neuf_simulation_11</t>
  </si>
  <si>
    <t>emaus_1_et__2</t>
  </si>
  <si>
    <t>emaus_1_et__2_simulation_15</t>
  </si>
  <si>
    <t>gymnase_du_clos_de_l'arche</t>
  </si>
  <si>
    <t>gymnase_du_clos_de_l'arche_simulation_2</t>
  </si>
  <si>
    <t>tir_a_l'arc</t>
  </si>
  <si>
    <t>tir_a_l'arc_simulation_14</t>
  </si>
  <si>
    <t>base_de_canoe_kayak</t>
  </si>
  <si>
    <t>base_de_canoe_kayak_simulation_12</t>
  </si>
  <si>
    <t>salle_de_boxe</t>
  </si>
  <si>
    <t>salle_de_boxe_simulation_5</t>
  </si>
  <si>
    <t>maison_de_la_jeunesse</t>
  </si>
  <si>
    <t>maison_de_la_jeunesse_simulation_9</t>
  </si>
  <si>
    <t>medecine_du_travail</t>
  </si>
  <si>
    <t>medecine_du_travail_simulation_8</t>
  </si>
  <si>
    <t>noisy_connecte</t>
  </si>
  <si>
    <t>noisy_connecte_simulation_9</t>
  </si>
  <si>
    <t>mpt_jardin_des_sources_-_annexe_maison_pour_tous</t>
  </si>
  <si>
    <t>mpt_jardin_des_sources_-_annexe_maison_pour_tous_simulation_5</t>
  </si>
  <si>
    <t>maison_medicale_du_champy</t>
  </si>
  <si>
    <t>maison_medicale_du_champy_simulation_14</t>
  </si>
  <si>
    <t>mille_club_des_yvris</t>
  </si>
  <si>
    <t>mille_club_des_yvris_simulation_7</t>
  </si>
  <si>
    <t>salle_polyvalente_stephan_hessel</t>
  </si>
  <si>
    <t>salle_polyvalente_stephan_hessel_simulation_7</t>
  </si>
  <si>
    <t>association_31_rue_gambetta</t>
  </si>
  <si>
    <t>association_31_rue_gambetta_simulation_6</t>
  </si>
  <si>
    <t>centre_horticole</t>
  </si>
  <si>
    <t>centre_horticole_simulation_15</t>
  </si>
  <si>
    <t>cimetiere_nouveau</t>
  </si>
  <si>
    <t>cimetiere_nouveau_simulation_11</t>
  </si>
  <si>
    <t>abri_bouliste</t>
  </si>
  <si>
    <t>abri_bouliste_simulation_11</t>
  </si>
  <si>
    <t>maison_des_syndicats</t>
  </si>
  <si>
    <t>maison_des_syndicats_simulation_11</t>
  </si>
  <si>
    <t>déchèterie_municipale</t>
  </si>
  <si>
    <t>déchèterie_municipale_simulation_11</t>
  </si>
  <si>
    <t>accueil_de_loisirs_maternel_la_varenne</t>
  </si>
  <si>
    <t>accueil_de_loisirs_maternel_la_varenne_simulation_14</t>
  </si>
  <si>
    <t>club_ricardo_bofil</t>
  </si>
  <si>
    <t>club_ricardo_bofil_simulation_2</t>
  </si>
  <si>
    <t>creche_multi_accueil_des_farfadets</t>
  </si>
  <si>
    <t>creche_multi_accueil_des_farfadets_simulation_2</t>
  </si>
  <si>
    <t>bureaux_21_rue_des_sports</t>
  </si>
  <si>
    <t>bureaux_21_rue_des_sports_simulation_14</t>
  </si>
  <si>
    <t>local_associatif_pablo_picasso</t>
  </si>
  <si>
    <t>local_associatif_pablo_picasso_simulation_7</t>
  </si>
  <si>
    <t>PARAMÈTRE MODIFIABLE</t>
  </si>
  <si>
    <t>Sobriété (%)</t>
  </si>
  <si>
    <t>CONSTANTES</t>
  </si>
  <si>
    <t>Gain maximal rénovations (MWh/an)</t>
  </si>
  <si>
    <t>FORMULES (NE PAS MODIFIER)</t>
  </si>
  <si>
    <t>Consommation après rénovations (MWh/an)</t>
  </si>
  <si>
    <t>Consommation après rénovations + sobriété (MWh/an)</t>
  </si>
  <si>
    <t>Réduction totale (MWh/an)</t>
  </si>
  <si>
    <t>Réduction totale (%)</t>
  </si>
  <si>
    <t>OBJECTIFS 2030/2040/2050</t>
  </si>
  <si>
    <t>Atteint?</t>
  </si>
  <si>
    <t>Objectif 2030: 40%</t>
  </si>
  <si>
    <t>Objectif 2040: 50%</t>
  </si>
  <si>
    <t>Objectif 2050: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</si>
</sst>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7"/>
    </sheetView>
  </sheetViews>
  <sheetFormatPr baseColWidth="10" defaultColWidth="8.7265625" defaultRowHeight="14.5" x14ac:dyDescent="0.35"/>
  <cols>
    <col min="1" max="1" width="36.5429687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20843.47743464322</v>
      </c>
    </row>
    <row r="3" spans="1:2" x14ac:dyDescent="0.35">
      <c r="A3" t="s">
        <v>3</v>
      </c>
      <c r="B3">
        <v>9425.7897870826891</v>
      </c>
    </row>
    <row r="4" spans="1:2" x14ac:dyDescent="0.35">
      <c r="A4" t="s">
        <v>4</v>
      </c>
      <c r="B4">
        <v>11417.68764756053</v>
      </c>
    </row>
    <row r="5" spans="1:2" x14ac:dyDescent="0.35">
      <c r="A5" t="s">
        <v>5</v>
      </c>
      <c r="B5">
        <v>51163956.164569132</v>
      </c>
    </row>
    <row r="6" spans="1:2" x14ac:dyDescent="0.35">
      <c r="A6" t="s">
        <v>6</v>
      </c>
      <c r="B6">
        <v>45.221771734770194</v>
      </c>
    </row>
    <row r="7" spans="1:2" x14ac:dyDescent="0.35">
      <c r="A7" t="s">
        <v>7</v>
      </c>
      <c r="B7">
        <v>50.699594561293168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workbookViewId="0">
      <selection sqref="A1:H72"/>
    </sheetView>
  </sheetViews>
  <sheetFormatPr baseColWidth="10" defaultColWidth="8.7265625" defaultRowHeight="14.5" x14ac:dyDescent="0.35"/>
  <cols>
    <col min="1" max="1" width="58" bestFit="1" customWidth="1"/>
    <col min="2" max="2" width="69.90625" bestFit="1" customWidth="1"/>
    <col min="3" max="3" width="17.1796875" bestFit="1" customWidth="1"/>
    <col min="4" max="4" width="19.7265625" bestFit="1" customWidth="1"/>
    <col min="5" max="5" width="11.81640625" bestFit="1" customWidth="1"/>
    <col min="6" max="6" width="15.54296875" bestFit="1" customWidth="1"/>
    <col min="7" max="7" width="19.7265625" bestFit="1" customWidth="1"/>
    <col min="8" max="8" width="21.08984375" bestFit="1" customWidth="1"/>
  </cols>
  <sheetData>
    <row r="1" spans="1:8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5">
      <c r="A2" t="s">
        <v>16</v>
      </c>
      <c r="B2" t="s">
        <v>17</v>
      </c>
      <c r="C2">
        <v>797.21497478041488</v>
      </c>
      <c r="D2">
        <v>873.80512194679704</v>
      </c>
      <c r="E2">
        <v>3785063.07</v>
      </c>
      <c r="F2">
        <v>11</v>
      </c>
      <c r="G2">
        <v>159.0388813248037</v>
      </c>
      <c r="H2">
        <v>4747.8574659771784</v>
      </c>
    </row>
    <row r="3" spans="1:8" x14ac:dyDescent="0.35">
      <c r="A3" t="s">
        <v>18</v>
      </c>
      <c r="B3" t="s">
        <v>19</v>
      </c>
      <c r="C3">
        <v>729.505072886128</v>
      </c>
      <c r="D3">
        <v>279.41944013405202</v>
      </c>
      <c r="E3">
        <v>1305939.325</v>
      </c>
      <c r="F3">
        <v>9</v>
      </c>
      <c r="G3">
        <v>161.46505284852179</v>
      </c>
      <c r="H3">
        <v>1790.1716842534561</v>
      </c>
    </row>
    <row r="4" spans="1:8" x14ac:dyDescent="0.35">
      <c r="A4" t="s">
        <v>20</v>
      </c>
      <c r="B4" t="s">
        <v>21</v>
      </c>
      <c r="C4">
        <v>675.88426356879677</v>
      </c>
      <c r="D4">
        <v>472.22208599661121</v>
      </c>
      <c r="E4">
        <v>1995557.46</v>
      </c>
      <c r="F4">
        <v>9</v>
      </c>
      <c r="G4">
        <v>150.5094968219349</v>
      </c>
      <c r="H4">
        <v>2952.5135700942042</v>
      </c>
    </row>
    <row r="5" spans="1:8" x14ac:dyDescent="0.35">
      <c r="A5" t="s">
        <v>22</v>
      </c>
      <c r="B5" t="s">
        <v>23</v>
      </c>
      <c r="C5">
        <v>419.75263132125201</v>
      </c>
      <c r="D5">
        <v>273.45937337010702</v>
      </c>
      <c r="E5">
        <v>2331334.4</v>
      </c>
      <c r="F5">
        <v>11</v>
      </c>
      <c r="G5">
        <v>92.573693231200807</v>
      </c>
      <c r="H5">
        <v>5554.0673864549153</v>
      </c>
    </row>
    <row r="6" spans="1:8" x14ac:dyDescent="0.35">
      <c r="A6" t="s">
        <v>24</v>
      </c>
      <c r="B6" t="s">
        <v>25</v>
      </c>
      <c r="C6">
        <v>405.2362172915918</v>
      </c>
      <c r="D6">
        <v>163.41922225183379</v>
      </c>
      <c r="E6">
        <v>1799636.88</v>
      </c>
      <c r="F6">
        <v>12</v>
      </c>
      <c r="G6">
        <v>89.712637421460059</v>
      </c>
      <c r="H6">
        <v>4440.9576518799977</v>
      </c>
    </row>
    <row r="7" spans="1:8" x14ac:dyDescent="0.35">
      <c r="A7" t="s">
        <v>26</v>
      </c>
      <c r="B7" t="s">
        <v>27</v>
      </c>
      <c r="C7">
        <v>383.97074071990397</v>
      </c>
      <c r="D7">
        <v>322.00577443997003</v>
      </c>
      <c r="E7">
        <v>2379947.37</v>
      </c>
      <c r="F7">
        <v>13</v>
      </c>
      <c r="G7">
        <v>85.095824312682808</v>
      </c>
      <c r="H7">
        <v>6198.2518916359459</v>
      </c>
    </row>
    <row r="8" spans="1:8" x14ac:dyDescent="0.35">
      <c r="A8" t="s">
        <v>28</v>
      </c>
      <c r="B8" t="s">
        <v>29</v>
      </c>
      <c r="C8">
        <v>367.76841999999999</v>
      </c>
      <c r="D8">
        <v>123.35108</v>
      </c>
      <c r="E8">
        <v>1938960.808</v>
      </c>
      <c r="F8">
        <v>9</v>
      </c>
      <c r="G8">
        <v>83.637573340000003</v>
      </c>
      <c r="H8">
        <v>5272.2330209864131</v>
      </c>
    </row>
    <row r="9" spans="1:8" x14ac:dyDescent="0.35">
      <c r="A9" t="s">
        <v>30</v>
      </c>
      <c r="B9" t="s">
        <v>31</v>
      </c>
      <c r="C9">
        <v>328.67354</v>
      </c>
      <c r="D9">
        <v>144.44200000000001</v>
      </c>
      <c r="E9">
        <v>818360.55200000003</v>
      </c>
      <c r="F9">
        <v>7</v>
      </c>
      <c r="G9">
        <v>73.632087659999996</v>
      </c>
      <c r="H9">
        <v>2489.888757093132</v>
      </c>
    </row>
    <row r="10" spans="1:8" x14ac:dyDescent="0.35">
      <c r="A10" t="s">
        <v>32</v>
      </c>
      <c r="B10" t="s">
        <v>33</v>
      </c>
      <c r="C10">
        <v>322.37128999999999</v>
      </c>
      <c r="D10">
        <v>159.36281</v>
      </c>
      <c r="E10">
        <v>573049.86800000002</v>
      </c>
      <c r="F10">
        <v>7</v>
      </c>
      <c r="G10">
        <v>72.509985869999994</v>
      </c>
      <c r="H10">
        <v>1777.608260338568</v>
      </c>
    </row>
    <row r="11" spans="1:8" x14ac:dyDescent="0.35">
      <c r="A11" t="s">
        <v>34</v>
      </c>
      <c r="B11" t="s">
        <v>35</v>
      </c>
      <c r="C11">
        <v>312.49757890356773</v>
      </c>
      <c r="D11">
        <v>145.0629937991213</v>
      </c>
      <c r="E11">
        <v>1667885.7960000001</v>
      </c>
      <c r="F11">
        <v>10</v>
      </c>
      <c r="G11">
        <v>69.166328544015514</v>
      </c>
      <c r="H11">
        <v>5337.2758977908297</v>
      </c>
    </row>
    <row r="12" spans="1:8" x14ac:dyDescent="0.35">
      <c r="A12" t="s">
        <v>36</v>
      </c>
      <c r="B12" t="s">
        <v>37</v>
      </c>
      <c r="C12">
        <v>308.32215043172988</v>
      </c>
      <c r="D12">
        <v>239.89824312564909</v>
      </c>
      <c r="E12">
        <v>1691225.8</v>
      </c>
      <c r="F12">
        <v>7</v>
      </c>
      <c r="G12">
        <v>68.209328055392803</v>
      </c>
      <c r="H12">
        <v>5485.2555926710138</v>
      </c>
    </row>
    <row r="13" spans="1:8" x14ac:dyDescent="0.35">
      <c r="A13" t="s">
        <v>38</v>
      </c>
      <c r="B13" t="s">
        <v>39</v>
      </c>
      <c r="C13">
        <v>307.66175840937927</v>
      </c>
      <c r="D13">
        <v>137.74389334032139</v>
      </c>
      <c r="E13">
        <v>1671724.9125000001</v>
      </c>
      <c r="F13">
        <v>11</v>
      </c>
      <c r="G13">
        <v>67.843732176841087</v>
      </c>
      <c r="H13">
        <v>5433.6454460342075</v>
      </c>
    </row>
    <row r="14" spans="1:8" x14ac:dyDescent="0.35">
      <c r="A14" t="s">
        <v>40</v>
      </c>
      <c r="B14" t="s">
        <v>41</v>
      </c>
      <c r="C14">
        <v>270.35212956426727</v>
      </c>
      <c r="D14">
        <v>148.38491468378271</v>
      </c>
      <c r="E14">
        <v>1257984.6299999999</v>
      </c>
      <c r="F14">
        <v>7</v>
      </c>
      <c r="G14">
        <v>59.803940060720791</v>
      </c>
      <c r="H14">
        <v>4653.1337926855713</v>
      </c>
    </row>
    <row r="15" spans="1:8" x14ac:dyDescent="0.35">
      <c r="A15" t="s">
        <v>42</v>
      </c>
      <c r="B15" t="s">
        <v>43</v>
      </c>
      <c r="C15">
        <v>251.62713642679799</v>
      </c>
      <c r="D15">
        <v>379.88419567025898</v>
      </c>
      <c r="E15">
        <v>2857616.19</v>
      </c>
      <c r="F15">
        <v>11</v>
      </c>
      <c r="G15">
        <v>55.774673126630397</v>
      </c>
      <c r="H15">
        <v>11356.550134374411</v>
      </c>
    </row>
    <row r="16" spans="1:8" x14ac:dyDescent="0.35">
      <c r="A16" t="s">
        <v>44</v>
      </c>
      <c r="B16" t="s">
        <v>45</v>
      </c>
      <c r="C16">
        <v>243.02743000000001</v>
      </c>
      <c r="D16">
        <v>152.20728</v>
      </c>
      <c r="E16">
        <v>1439943.47</v>
      </c>
      <c r="F16">
        <v>11</v>
      </c>
      <c r="G16">
        <v>53.591495770000009</v>
      </c>
      <c r="H16">
        <v>5925.024471517474</v>
      </c>
    </row>
    <row r="17" spans="1:8" x14ac:dyDescent="0.35">
      <c r="A17" t="s">
        <v>46</v>
      </c>
      <c r="B17" t="s">
        <v>47</v>
      </c>
      <c r="C17">
        <v>240.13032999999999</v>
      </c>
      <c r="D17">
        <v>21.082509999999999</v>
      </c>
      <c r="E17">
        <v>1149994.798134</v>
      </c>
      <c r="F17">
        <v>8</v>
      </c>
      <c r="G17">
        <v>54.200887989999998</v>
      </c>
      <c r="H17">
        <v>4789.0443416039952</v>
      </c>
    </row>
    <row r="18" spans="1:8" x14ac:dyDescent="0.35">
      <c r="A18" t="s">
        <v>48</v>
      </c>
      <c r="B18" t="s">
        <v>49</v>
      </c>
      <c r="C18">
        <v>214.23458260287509</v>
      </c>
      <c r="D18">
        <v>215.77436093209201</v>
      </c>
      <c r="E18">
        <v>1313775.26</v>
      </c>
      <c r="F18">
        <v>10</v>
      </c>
      <c r="G18">
        <v>47.480807579522832</v>
      </c>
      <c r="H18">
        <v>6132.4144964743373</v>
      </c>
    </row>
    <row r="19" spans="1:8" x14ac:dyDescent="0.35">
      <c r="A19" t="s">
        <v>50</v>
      </c>
      <c r="B19" t="s">
        <v>51</v>
      </c>
      <c r="C19">
        <v>201.9776131181321</v>
      </c>
      <c r="D19">
        <v>102.019810908577</v>
      </c>
      <c r="E19">
        <v>820749.2</v>
      </c>
      <c r="F19">
        <v>9</v>
      </c>
      <c r="G19">
        <v>44.711614524335978</v>
      </c>
      <c r="H19">
        <v>4063.565200762931</v>
      </c>
    </row>
    <row r="20" spans="1:8" x14ac:dyDescent="0.35">
      <c r="A20" t="s">
        <v>52</v>
      </c>
      <c r="B20" t="s">
        <v>53</v>
      </c>
      <c r="C20">
        <v>195.5401372735767</v>
      </c>
      <c r="D20">
        <v>233.13525129613581</v>
      </c>
      <c r="E20">
        <v>235081.83</v>
      </c>
      <c r="F20">
        <v>2</v>
      </c>
      <c r="G20">
        <v>15.44767084461256</v>
      </c>
      <c r="H20">
        <v>1202.2177813606691</v>
      </c>
    </row>
    <row r="21" spans="1:8" x14ac:dyDescent="0.35">
      <c r="A21" t="s">
        <v>54</v>
      </c>
      <c r="B21" t="s">
        <v>55</v>
      </c>
      <c r="C21">
        <v>188.380176714546</v>
      </c>
      <c r="D21">
        <v>382.46472250354998</v>
      </c>
      <c r="E21">
        <v>1396879.8</v>
      </c>
      <c r="F21">
        <v>6</v>
      </c>
      <c r="G21">
        <v>30.689868591012139</v>
      </c>
      <c r="H21">
        <v>7415.2165284179728</v>
      </c>
    </row>
    <row r="22" spans="1:8" x14ac:dyDescent="0.35">
      <c r="A22" t="s">
        <v>56</v>
      </c>
      <c r="B22" t="s">
        <v>57</v>
      </c>
      <c r="C22">
        <v>183.27670000000001</v>
      </c>
      <c r="D22">
        <v>378.73110000000003</v>
      </c>
      <c r="E22">
        <v>1474918.78</v>
      </c>
      <c r="F22">
        <v>7</v>
      </c>
      <c r="G22">
        <v>40.449292499999999</v>
      </c>
      <c r="H22">
        <v>8047.4974724010199</v>
      </c>
    </row>
    <row r="23" spans="1:8" x14ac:dyDescent="0.35">
      <c r="A23" t="s">
        <v>58</v>
      </c>
      <c r="B23" t="s">
        <v>59</v>
      </c>
      <c r="C23">
        <v>177.24901</v>
      </c>
      <c r="D23">
        <v>236.26182</v>
      </c>
      <c r="E23">
        <v>414068.85</v>
      </c>
      <c r="F23">
        <v>5</v>
      </c>
      <c r="G23">
        <v>39.172558190000018</v>
      </c>
      <c r="H23">
        <v>2336.0855442859738</v>
      </c>
    </row>
    <row r="24" spans="1:8" x14ac:dyDescent="0.35">
      <c r="A24" t="s">
        <v>60</v>
      </c>
      <c r="B24" t="s">
        <v>61</v>
      </c>
      <c r="C24">
        <v>152.46251264442029</v>
      </c>
      <c r="D24">
        <v>60.062760096251608</v>
      </c>
      <c r="E24">
        <v>920754.9</v>
      </c>
      <c r="F24">
        <v>7</v>
      </c>
      <c r="G24">
        <v>33.744810176769867</v>
      </c>
      <c r="H24">
        <v>6039.2216029354358</v>
      </c>
    </row>
    <row r="25" spans="1:8" x14ac:dyDescent="0.35">
      <c r="A25" t="s">
        <v>62</v>
      </c>
      <c r="B25" t="s">
        <v>63</v>
      </c>
      <c r="C25">
        <v>143.0205757892461</v>
      </c>
      <c r="D25">
        <v>237.0388729518819</v>
      </c>
      <c r="E25">
        <v>837193.7</v>
      </c>
      <c r="F25">
        <v>3</v>
      </c>
      <c r="G25">
        <v>31.636983951393809</v>
      </c>
      <c r="H25">
        <v>5853.6591352679316</v>
      </c>
    </row>
    <row r="26" spans="1:8" x14ac:dyDescent="0.35">
      <c r="A26" t="s">
        <v>64</v>
      </c>
      <c r="B26" t="s">
        <v>65</v>
      </c>
      <c r="C26">
        <v>139.35030219809749</v>
      </c>
      <c r="D26">
        <v>160.0772844888406</v>
      </c>
      <c r="E26">
        <v>916841.42</v>
      </c>
      <c r="F26">
        <v>5</v>
      </c>
      <c r="G26">
        <v>30.875858238739241</v>
      </c>
      <c r="H26">
        <v>6579.4002993738568</v>
      </c>
    </row>
    <row r="27" spans="1:8" x14ac:dyDescent="0.35">
      <c r="A27" t="s">
        <v>66</v>
      </c>
      <c r="B27" t="s">
        <v>67</v>
      </c>
      <c r="C27">
        <v>131.65032268208759</v>
      </c>
      <c r="D27">
        <v>415.46381727838241</v>
      </c>
      <c r="E27">
        <v>1743504</v>
      </c>
      <c r="F27">
        <v>14</v>
      </c>
      <c r="G27">
        <v>28.12509902555497</v>
      </c>
      <c r="H27">
        <v>13243.44646089669</v>
      </c>
    </row>
    <row r="28" spans="1:8" x14ac:dyDescent="0.35">
      <c r="A28" t="s">
        <v>68</v>
      </c>
      <c r="B28" t="s">
        <v>69</v>
      </c>
      <c r="C28">
        <v>131.2077995876669</v>
      </c>
      <c r="D28">
        <v>124.6367233328008</v>
      </c>
      <c r="E28">
        <v>736091.39999999991</v>
      </c>
      <c r="F28">
        <v>6</v>
      </c>
      <c r="G28">
        <v>28.93959814166157</v>
      </c>
      <c r="H28">
        <v>5610.1192331038073</v>
      </c>
    </row>
    <row r="29" spans="1:8" x14ac:dyDescent="0.35">
      <c r="A29" t="s">
        <v>70</v>
      </c>
      <c r="B29" t="s">
        <v>71</v>
      </c>
      <c r="C29">
        <v>95.33119390868552</v>
      </c>
      <c r="D29">
        <v>141.84633984330799</v>
      </c>
      <c r="E29">
        <v>540906.75771288376</v>
      </c>
      <c r="F29">
        <v>3</v>
      </c>
      <c r="G29">
        <v>7.5311643187861614</v>
      </c>
      <c r="H29">
        <v>5673.9744414719044</v>
      </c>
    </row>
    <row r="30" spans="1:8" x14ac:dyDescent="0.35">
      <c r="A30" t="s">
        <v>72</v>
      </c>
      <c r="B30" t="s">
        <v>73</v>
      </c>
      <c r="C30">
        <v>85.804112704592512</v>
      </c>
      <c r="D30">
        <v>76.091941686080276</v>
      </c>
      <c r="E30">
        <v>474411.34585024428</v>
      </c>
      <c r="F30">
        <v>3</v>
      </c>
      <c r="G30">
        <v>6.7785249036628086</v>
      </c>
      <c r="H30">
        <v>5529.0047399424047</v>
      </c>
    </row>
    <row r="31" spans="1:8" x14ac:dyDescent="0.35">
      <c r="A31" t="s">
        <v>74</v>
      </c>
      <c r="B31" t="s">
        <v>75</v>
      </c>
      <c r="C31">
        <v>83.604855967587056</v>
      </c>
      <c r="D31">
        <v>52.05817407178985</v>
      </c>
      <c r="E31">
        <v>333898.73340506502</v>
      </c>
      <c r="F31">
        <v>4</v>
      </c>
      <c r="G31">
        <v>18.518906102818779</v>
      </c>
      <c r="H31">
        <v>3993.7720069096822</v>
      </c>
    </row>
    <row r="32" spans="1:8" x14ac:dyDescent="0.35">
      <c r="A32" t="s">
        <v>76</v>
      </c>
      <c r="B32" t="s">
        <v>77</v>
      </c>
      <c r="C32">
        <v>83.480799999999988</v>
      </c>
      <c r="D32">
        <v>61.398220000000002</v>
      </c>
      <c r="E32">
        <v>721396.2</v>
      </c>
      <c r="F32">
        <v>5</v>
      </c>
      <c r="G32">
        <v>19.064307320000001</v>
      </c>
      <c r="H32">
        <v>8641.462468016598</v>
      </c>
    </row>
    <row r="33" spans="1:8" x14ac:dyDescent="0.35">
      <c r="A33" t="s">
        <v>78</v>
      </c>
      <c r="B33" t="s">
        <v>79</v>
      </c>
      <c r="C33">
        <v>83.437000000000012</v>
      </c>
      <c r="D33">
        <v>139.58019999999999</v>
      </c>
      <c r="E33">
        <v>258349.6</v>
      </c>
      <c r="F33">
        <v>3</v>
      </c>
      <c r="G33">
        <v>6.5915229999999996</v>
      </c>
      <c r="H33">
        <v>3096.3433488740002</v>
      </c>
    </row>
    <row r="34" spans="1:8" x14ac:dyDescent="0.35">
      <c r="A34" t="s">
        <v>80</v>
      </c>
      <c r="B34" t="s">
        <v>81</v>
      </c>
      <c r="C34">
        <v>65.385220586640258</v>
      </c>
      <c r="D34">
        <v>107.1848667682457</v>
      </c>
      <c r="E34">
        <v>501665.81</v>
      </c>
      <c r="F34">
        <v>2</v>
      </c>
      <c r="G34">
        <v>15.45143242634458</v>
      </c>
      <c r="H34">
        <v>7672.4649010743287</v>
      </c>
    </row>
    <row r="35" spans="1:8" x14ac:dyDescent="0.35">
      <c r="A35" t="s">
        <v>82</v>
      </c>
      <c r="B35" t="s">
        <v>83</v>
      </c>
      <c r="C35">
        <v>63.596638105635982</v>
      </c>
      <c r="D35">
        <v>2726.2218639934599</v>
      </c>
      <c r="E35">
        <v>358316.06430169212</v>
      </c>
      <c r="F35">
        <v>9</v>
      </c>
      <c r="G35">
        <v>2.7448653098937261</v>
      </c>
      <c r="H35">
        <v>5634.1982056743009</v>
      </c>
    </row>
    <row r="36" spans="1:8" x14ac:dyDescent="0.35">
      <c r="A36" t="s">
        <v>84</v>
      </c>
      <c r="B36" t="s">
        <v>85</v>
      </c>
      <c r="C36">
        <v>59.550365999358398</v>
      </c>
      <c r="D36">
        <v>28.053227415225301</v>
      </c>
      <c r="E36">
        <v>293752.19</v>
      </c>
      <c r="F36">
        <v>2</v>
      </c>
      <c r="G36">
        <v>13.18089216666732</v>
      </c>
      <c r="H36">
        <v>4932.8360131852914</v>
      </c>
    </row>
    <row r="37" spans="1:8" x14ac:dyDescent="0.35">
      <c r="A37" t="s">
        <v>86</v>
      </c>
      <c r="B37" t="s">
        <v>87</v>
      </c>
      <c r="C37">
        <v>54.828038472774161</v>
      </c>
      <c r="D37">
        <v>22.039734468494849</v>
      </c>
      <c r="E37">
        <v>285438.09999999998</v>
      </c>
      <c r="F37">
        <v>2</v>
      </c>
      <c r="G37">
        <v>12.091277321898581</v>
      </c>
      <c r="H37">
        <v>5206.0607665499347</v>
      </c>
    </row>
    <row r="38" spans="1:8" x14ac:dyDescent="0.35">
      <c r="A38" t="s">
        <v>88</v>
      </c>
      <c r="B38" t="s">
        <v>89</v>
      </c>
      <c r="C38">
        <v>48.386457046656282</v>
      </c>
      <c r="D38">
        <v>21.718794322009821</v>
      </c>
      <c r="E38">
        <v>225311.14</v>
      </c>
      <c r="F38">
        <v>2</v>
      </c>
      <c r="G38">
        <v>10.71179680976152</v>
      </c>
      <c r="H38">
        <v>4656.49179031119</v>
      </c>
    </row>
    <row r="39" spans="1:8" x14ac:dyDescent="0.35">
      <c r="A39" t="s">
        <v>90</v>
      </c>
      <c r="B39" t="s">
        <v>91</v>
      </c>
      <c r="C39">
        <v>37.390064896413037</v>
      </c>
      <c r="D39">
        <v>229.0449233052727</v>
      </c>
      <c r="E39">
        <v>417436.14</v>
      </c>
      <c r="F39">
        <v>4</v>
      </c>
      <c r="G39">
        <v>8.3661622721679976</v>
      </c>
      <c r="H39">
        <v>11164.35986822922</v>
      </c>
    </row>
    <row r="40" spans="1:8" x14ac:dyDescent="0.35">
      <c r="A40" t="s">
        <v>92</v>
      </c>
      <c r="B40" t="s">
        <v>93</v>
      </c>
      <c r="C40">
        <v>36.338940000000008</v>
      </c>
      <c r="D40">
        <v>192.54338999999999</v>
      </c>
      <c r="E40">
        <v>443694</v>
      </c>
      <c r="F40">
        <v>4</v>
      </c>
      <c r="G40">
        <v>8.0356802599999924</v>
      </c>
      <c r="H40">
        <v>12209.87733819423</v>
      </c>
    </row>
    <row r="41" spans="1:8" x14ac:dyDescent="0.35">
      <c r="A41" t="s">
        <v>94</v>
      </c>
      <c r="B41" t="s">
        <v>95</v>
      </c>
      <c r="C41">
        <v>35.677320000000002</v>
      </c>
      <c r="D41">
        <v>35.741880000000002</v>
      </c>
      <c r="E41">
        <v>528551.45199999993</v>
      </c>
      <c r="F41">
        <v>1</v>
      </c>
      <c r="G41">
        <v>2.8185082800000001</v>
      </c>
      <c r="H41">
        <v>14814.774540240131</v>
      </c>
    </row>
    <row r="42" spans="1:8" x14ac:dyDescent="0.35">
      <c r="A42" t="s">
        <v>96</v>
      </c>
      <c r="B42" t="s">
        <v>97</v>
      </c>
      <c r="C42">
        <v>30.24181999999999</v>
      </c>
      <c r="D42">
        <v>66.344850000000008</v>
      </c>
      <c r="E42">
        <v>386701.2</v>
      </c>
      <c r="F42">
        <v>3</v>
      </c>
      <c r="G42">
        <v>6.684038619999999</v>
      </c>
      <c r="H42">
        <v>12786.96850917042</v>
      </c>
    </row>
    <row r="43" spans="1:8" x14ac:dyDescent="0.35">
      <c r="A43" t="s">
        <v>98</v>
      </c>
      <c r="B43" t="s">
        <v>99</v>
      </c>
      <c r="C43">
        <v>28.441350439601219</v>
      </c>
      <c r="D43">
        <v>36.165484397261139</v>
      </c>
      <c r="E43">
        <v>147300</v>
      </c>
      <c r="F43">
        <v>1</v>
      </c>
      <c r="G43">
        <v>2.246866684728495</v>
      </c>
      <c r="H43">
        <v>5179.0789721047186</v>
      </c>
    </row>
    <row r="44" spans="1:8" x14ac:dyDescent="0.35">
      <c r="A44" t="s">
        <v>100</v>
      </c>
      <c r="B44" t="s">
        <v>101</v>
      </c>
      <c r="C44">
        <v>26.229789999999991</v>
      </c>
      <c r="D44">
        <v>65.385040000000004</v>
      </c>
      <c r="E44">
        <v>157359.1</v>
      </c>
      <c r="F44">
        <v>2</v>
      </c>
      <c r="G44">
        <v>2.072153409999999</v>
      </c>
      <c r="H44">
        <v>5999.251233044567</v>
      </c>
    </row>
    <row r="45" spans="1:8" x14ac:dyDescent="0.35">
      <c r="A45" t="s">
        <v>102</v>
      </c>
      <c r="B45" t="s">
        <v>103</v>
      </c>
      <c r="C45">
        <v>21.60550000000001</v>
      </c>
      <c r="D45">
        <v>35.926789999999997</v>
      </c>
      <c r="E45">
        <v>330657.40000000002</v>
      </c>
      <c r="F45">
        <v>3</v>
      </c>
      <c r="G45">
        <v>1.7068345</v>
      </c>
      <c r="H45">
        <v>15304.316030640341</v>
      </c>
    </row>
    <row r="46" spans="1:8" x14ac:dyDescent="0.35">
      <c r="A46" t="s">
        <v>104</v>
      </c>
      <c r="B46" t="s">
        <v>105</v>
      </c>
      <c r="C46">
        <v>20.554260681568511</v>
      </c>
      <c r="D46">
        <v>22.14311672269389</v>
      </c>
      <c r="E46">
        <v>166570.6542536359</v>
      </c>
      <c r="F46">
        <v>2</v>
      </c>
      <c r="G46">
        <v>1.623786593843912</v>
      </c>
      <c r="H46">
        <v>8103.9477329877272</v>
      </c>
    </row>
    <row r="47" spans="1:8" x14ac:dyDescent="0.35">
      <c r="A47" t="s">
        <v>106</v>
      </c>
      <c r="B47" t="s">
        <v>107</v>
      </c>
      <c r="C47">
        <v>18.007973403871951</v>
      </c>
      <c r="D47">
        <v>33.957219504688943</v>
      </c>
      <c r="E47">
        <v>202494.7720245354</v>
      </c>
      <c r="F47">
        <v>2</v>
      </c>
      <c r="G47">
        <v>3.980302285269592</v>
      </c>
      <c r="H47">
        <v>11244.72851459212</v>
      </c>
    </row>
    <row r="48" spans="1:8" x14ac:dyDescent="0.35">
      <c r="A48" t="s">
        <v>108</v>
      </c>
      <c r="B48" t="s">
        <v>109</v>
      </c>
      <c r="C48">
        <v>17.555832979572209</v>
      </c>
      <c r="D48">
        <v>17.449522909101962</v>
      </c>
      <c r="E48">
        <v>191635.7398740162</v>
      </c>
      <c r="F48">
        <v>2</v>
      </c>
      <c r="G48">
        <v>1.386910805386204</v>
      </c>
      <c r="H48">
        <v>10915.78736805036</v>
      </c>
    </row>
    <row r="49" spans="1:8" x14ac:dyDescent="0.35">
      <c r="A49" t="s">
        <v>110</v>
      </c>
      <c r="B49" t="s">
        <v>111</v>
      </c>
      <c r="C49">
        <v>17.193310708279419</v>
      </c>
      <c r="D49">
        <v>20.435352341701449</v>
      </c>
      <c r="E49">
        <v>155840.1609474147</v>
      </c>
      <c r="F49">
        <v>2</v>
      </c>
      <c r="G49">
        <v>1.3582715459540751</v>
      </c>
      <c r="H49">
        <v>9063.9995746933164</v>
      </c>
    </row>
    <row r="50" spans="1:8" x14ac:dyDescent="0.35">
      <c r="A50" t="s">
        <v>112</v>
      </c>
      <c r="B50" t="s">
        <v>113</v>
      </c>
      <c r="C50">
        <v>15.23738047933719</v>
      </c>
      <c r="D50">
        <v>20.40185016904093</v>
      </c>
      <c r="E50">
        <v>229094.3179134106</v>
      </c>
      <c r="F50">
        <v>2</v>
      </c>
      <c r="G50">
        <v>1.203753057867637</v>
      </c>
      <c r="H50">
        <v>15035.01984636246</v>
      </c>
    </row>
    <row r="51" spans="1:8" x14ac:dyDescent="0.35">
      <c r="A51" t="s">
        <v>114</v>
      </c>
      <c r="B51" t="s">
        <v>115</v>
      </c>
      <c r="C51">
        <v>14.857799999999999</v>
      </c>
      <c r="D51">
        <v>302.01150000000001</v>
      </c>
      <c r="E51">
        <v>569215.19999999995</v>
      </c>
      <c r="F51">
        <v>3</v>
      </c>
      <c r="G51">
        <v>3.276032199999996</v>
      </c>
      <c r="H51">
        <v>38310.867019343372</v>
      </c>
    </row>
    <row r="52" spans="1:8" x14ac:dyDescent="0.35">
      <c r="A52" t="s">
        <v>116</v>
      </c>
      <c r="B52" t="s">
        <v>117</v>
      </c>
      <c r="C52">
        <v>13.646998</v>
      </c>
      <c r="D52">
        <v>6.2057820000000001</v>
      </c>
      <c r="E52">
        <v>412750.4</v>
      </c>
      <c r="F52">
        <v>2</v>
      </c>
      <c r="G52">
        <v>1.0781128419999999</v>
      </c>
      <c r="H52">
        <v>30244.776177149</v>
      </c>
    </row>
    <row r="53" spans="1:8" x14ac:dyDescent="0.35">
      <c r="A53" t="s">
        <v>118</v>
      </c>
      <c r="B53" t="s">
        <v>119</v>
      </c>
      <c r="C53">
        <v>13.615677</v>
      </c>
      <c r="D53">
        <v>8.0282330000000002</v>
      </c>
      <c r="E53">
        <v>28031.7</v>
      </c>
      <c r="F53">
        <v>1</v>
      </c>
      <c r="G53">
        <v>1.0756384830000001</v>
      </c>
      <c r="H53">
        <v>2058.781212274645</v>
      </c>
    </row>
    <row r="54" spans="1:8" x14ac:dyDescent="0.35">
      <c r="A54" t="s">
        <v>120</v>
      </c>
      <c r="B54" t="s">
        <v>121</v>
      </c>
      <c r="C54">
        <v>13.42486173955219</v>
      </c>
      <c r="D54">
        <v>19.313693951718669</v>
      </c>
      <c r="E54">
        <v>52159.125685500803</v>
      </c>
      <c r="F54">
        <v>1</v>
      </c>
      <c r="G54">
        <v>1.060564077424623</v>
      </c>
      <c r="H54">
        <v>3885.263528028011</v>
      </c>
    </row>
    <row r="55" spans="1:8" x14ac:dyDescent="0.35">
      <c r="A55" t="s">
        <v>122</v>
      </c>
      <c r="B55" t="s">
        <v>123</v>
      </c>
      <c r="C55">
        <v>11.97363</v>
      </c>
      <c r="D55">
        <v>13.841839999999999</v>
      </c>
      <c r="E55">
        <v>60431.839999999997</v>
      </c>
      <c r="F55">
        <v>1</v>
      </c>
      <c r="G55">
        <v>0.94591677000000018</v>
      </c>
      <c r="H55">
        <v>5047.0776197360356</v>
      </c>
    </row>
    <row r="56" spans="1:8" x14ac:dyDescent="0.35">
      <c r="A56" t="s">
        <v>124</v>
      </c>
      <c r="B56" t="s">
        <v>125</v>
      </c>
      <c r="C56">
        <v>10.906147192602729</v>
      </c>
      <c r="D56">
        <v>15.132488759385071</v>
      </c>
      <c r="E56">
        <v>126909.1114075669</v>
      </c>
      <c r="F56">
        <v>2</v>
      </c>
      <c r="G56">
        <v>0.86158562821561557</v>
      </c>
      <c r="H56">
        <v>11636.475206720581</v>
      </c>
    </row>
    <row r="57" spans="1:8" x14ac:dyDescent="0.35">
      <c r="A57" t="s">
        <v>126</v>
      </c>
      <c r="B57" t="s">
        <v>127</v>
      </c>
      <c r="C57">
        <v>10.592164</v>
      </c>
      <c r="D57">
        <v>5.1364359999999998</v>
      </c>
      <c r="E57">
        <v>37602</v>
      </c>
      <c r="F57">
        <v>1</v>
      </c>
      <c r="G57">
        <v>0.83678095600000002</v>
      </c>
      <c r="H57">
        <v>3549.9827986047039</v>
      </c>
    </row>
    <row r="58" spans="1:8" x14ac:dyDescent="0.35">
      <c r="A58" t="s">
        <v>128</v>
      </c>
      <c r="B58" t="s">
        <v>129</v>
      </c>
      <c r="C58">
        <v>10.348367579621589</v>
      </c>
      <c r="D58">
        <v>59.144425752232621</v>
      </c>
      <c r="E58">
        <v>1230328.272410715</v>
      </c>
      <c r="F58">
        <v>4</v>
      </c>
      <c r="G58">
        <v>0.81752103879010551</v>
      </c>
      <c r="H58">
        <v>118891.04855856929</v>
      </c>
    </row>
    <row r="59" spans="1:8" x14ac:dyDescent="0.35">
      <c r="A59" t="s">
        <v>130</v>
      </c>
      <c r="B59" t="s">
        <v>131</v>
      </c>
      <c r="C59">
        <v>10.324389317842069</v>
      </c>
      <c r="D59">
        <v>24.35836790221925</v>
      </c>
      <c r="E59">
        <v>291977.35344601929</v>
      </c>
      <c r="F59">
        <v>1</v>
      </c>
      <c r="G59">
        <v>0.81562675610952318</v>
      </c>
      <c r="H59">
        <v>28280.350968694998</v>
      </c>
    </row>
    <row r="60" spans="1:8" x14ac:dyDescent="0.35">
      <c r="A60" t="s">
        <v>132</v>
      </c>
      <c r="B60" t="s">
        <v>133</v>
      </c>
      <c r="C60">
        <v>9.2008942278798216</v>
      </c>
      <c r="D60">
        <v>15.458178580647569</v>
      </c>
      <c r="E60">
        <v>163471.0101647249</v>
      </c>
      <c r="F60">
        <v>1</v>
      </c>
      <c r="G60">
        <v>0.72687064400250612</v>
      </c>
      <c r="H60">
        <v>17766.86114588601</v>
      </c>
    </row>
    <row r="61" spans="1:8" x14ac:dyDescent="0.35">
      <c r="A61" t="s">
        <v>134</v>
      </c>
      <c r="B61" t="s">
        <v>135</v>
      </c>
      <c r="C61">
        <v>7.385988174259321</v>
      </c>
      <c r="D61">
        <v>23.134196117385638</v>
      </c>
      <c r="E61">
        <v>82956.213163444598</v>
      </c>
      <c r="F61">
        <v>1</v>
      </c>
      <c r="G61">
        <v>0.58349306576648652</v>
      </c>
      <c r="H61">
        <v>11231.565933527039</v>
      </c>
    </row>
    <row r="62" spans="1:8" x14ac:dyDescent="0.35">
      <c r="A62" t="s">
        <v>136</v>
      </c>
      <c r="B62" t="s">
        <v>137</v>
      </c>
      <c r="C62">
        <v>7.325672</v>
      </c>
      <c r="D62">
        <v>5.5014779999999996</v>
      </c>
      <c r="E62">
        <v>167051.5</v>
      </c>
      <c r="F62">
        <v>2</v>
      </c>
      <c r="G62">
        <v>0.57872808799999997</v>
      </c>
      <c r="H62">
        <v>22803.57351516694</v>
      </c>
    </row>
    <row r="63" spans="1:8" x14ac:dyDescent="0.35">
      <c r="A63" t="s">
        <v>138</v>
      </c>
      <c r="B63" t="s">
        <v>139</v>
      </c>
      <c r="C63">
        <v>7.2991201654364488</v>
      </c>
      <c r="D63">
        <v>48.469940952457698</v>
      </c>
      <c r="E63">
        <v>183773.6990296366</v>
      </c>
      <c r="F63">
        <v>2</v>
      </c>
      <c r="G63">
        <v>0.57663049306947922</v>
      </c>
      <c r="H63">
        <v>25177.513846101741</v>
      </c>
    </row>
    <row r="64" spans="1:8" x14ac:dyDescent="0.35">
      <c r="A64" t="s">
        <v>140</v>
      </c>
      <c r="B64" t="s">
        <v>141</v>
      </c>
      <c r="C64">
        <v>6.7187047410109546</v>
      </c>
      <c r="D64">
        <v>4.9818164817993953</v>
      </c>
      <c r="E64">
        <v>39589.538515509099</v>
      </c>
      <c r="F64">
        <v>1</v>
      </c>
      <c r="G64">
        <v>0.53077767453986535</v>
      </c>
      <c r="H64">
        <v>5892.4361229709457</v>
      </c>
    </row>
    <row r="65" spans="1:8" x14ac:dyDescent="0.35">
      <c r="A65" t="s">
        <v>142</v>
      </c>
      <c r="B65" t="s">
        <v>143</v>
      </c>
      <c r="C65">
        <v>6.0873829999999991</v>
      </c>
      <c r="D65">
        <v>7.1690170000000002</v>
      </c>
      <c r="E65">
        <v>62094.12</v>
      </c>
      <c r="F65">
        <v>1</v>
      </c>
      <c r="G65">
        <v>0.48090325699999992</v>
      </c>
      <c r="H65">
        <v>10200.46216904703</v>
      </c>
    </row>
    <row r="66" spans="1:8" x14ac:dyDescent="0.35">
      <c r="A66" t="s">
        <v>144</v>
      </c>
      <c r="B66" t="s">
        <v>145</v>
      </c>
      <c r="C66">
        <v>4.3653870000000001</v>
      </c>
      <c r="D66">
        <v>9.1907329999999998</v>
      </c>
      <c r="E66">
        <v>179073.7</v>
      </c>
      <c r="F66">
        <v>1</v>
      </c>
      <c r="G66">
        <v>0.34486557300000009</v>
      </c>
      <c r="H66">
        <v>41021.265697634597</v>
      </c>
    </row>
    <row r="67" spans="1:8" x14ac:dyDescent="0.35">
      <c r="A67" t="s">
        <v>146</v>
      </c>
      <c r="B67" t="s">
        <v>147</v>
      </c>
      <c r="C67">
        <v>3.7790938351390202</v>
      </c>
      <c r="D67">
        <v>1.917058785144456</v>
      </c>
      <c r="E67">
        <v>29536.936522737498</v>
      </c>
      <c r="F67">
        <v>1</v>
      </c>
      <c r="G67">
        <v>0.29854841297598261</v>
      </c>
      <c r="H67">
        <v>7815.8780414752346</v>
      </c>
    </row>
    <row r="68" spans="1:8" x14ac:dyDescent="0.35">
      <c r="A68" t="s">
        <v>148</v>
      </c>
      <c r="B68" t="s">
        <v>149</v>
      </c>
      <c r="C68">
        <v>3.319777080704398</v>
      </c>
      <c r="D68">
        <v>18.934509142946801</v>
      </c>
      <c r="E68">
        <v>241467.90561093431</v>
      </c>
      <c r="F68">
        <v>2</v>
      </c>
      <c r="G68">
        <v>0.26226238937564772</v>
      </c>
      <c r="H68">
        <v>72736.180695511968</v>
      </c>
    </row>
    <row r="69" spans="1:8" x14ac:dyDescent="0.35">
      <c r="A69" t="s">
        <v>150</v>
      </c>
      <c r="B69" t="s">
        <v>151</v>
      </c>
      <c r="C69">
        <v>3.2846222994018528</v>
      </c>
      <c r="D69">
        <v>61.345780012979738</v>
      </c>
      <c r="E69">
        <v>169732.86386919409</v>
      </c>
      <c r="F69">
        <v>4</v>
      </c>
      <c r="G69">
        <v>0.25948516165274688</v>
      </c>
      <c r="H69">
        <v>51675.001993411337</v>
      </c>
    </row>
    <row r="70" spans="1:8" x14ac:dyDescent="0.35">
      <c r="A70" t="s">
        <v>152</v>
      </c>
      <c r="B70" t="s">
        <v>153</v>
      </c>
      <c r="C70">
        <v>3.1962499999999991</v>
      </c>
      <c r="D70">
        <v>26.310199999999998</v>
      </c>
      <c r="E70">
        <v>96216.36</v>
      </c>
      <c r="F70">
        <v>2</v>
      </c>
      <c r="G70">
        <v>0.70648486999999971</v>
      </c>
      <c r="H70">
        <v>30102.889323425901</v>
      </c>
    </row>
    <row r="71" spans="1:8" x14ac:dyDescent="0.35">
      <c r="A71" t="s">
        <v>154</v>
      </c>
      <c r="B71" t="s">
        <v>155</v>
      </c>
      <c r="C71">
        <v>2.8604503037859361</v>
      </c>
      <c r="D71">
        <v>1.9860774426116421</v>
      </c>
      <c r="E71">
        <v>43496.537003044643</v>
      </c>
      <c r="F71">
        <v>1</v>
      </c>
      <c r="G71">
        <v>0.22597557399908899</v>
      </c>
      <c r="H71">
        <v>15206.18517492683</v>
      </c>
    </row>
    <row r="72" spans="1:8" x14ac:dyDescent="0.35">
      <c r="A72" t="s">
        <v>156</v>
      </c>
      <c r="B72" t="s">
        <v>157</v>
      </c>
      <c r="C72">
        <v>1.052786130399441</v>
      </c>
      <c r="D72">
        <v>6.9656502136150982</v>
      </c>
      <c r="E72">
        <v>71225.429823199855</v>
      </c>
      <c r="F72">
        <v>1</v>
      </c>
      <c r="G72">
        <v>8.3170104301555803E-2</v>
      </c>
      <c r="H72">
        <v>67654.225076251692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1" max="1" width="45" customWidth="1"/>
    <col min="2" max="2" width="20" customWidth="1"/>
  </cols>
  <sheetData>
    <row r="1" spans="1:2" x14ac:dyDescent="0.35">
      <c r="A1" t="s">
        <v>158</v>
      </c>
    </row>
    <row r="2" spans="1:2" x14ac:dyDescent="0.35">
      <c r="A2" s="2" t="s">
        <v>159</v>
      </c>
      <c r="B2" s="3">
        <v>10</v>
      </c>
    </row>
    <row r="4" spans="1:2" x14ac:dyDescent="0.35">
      <c r="A4" t="s">
        <v>160</v>
      </c>
    </row>
    <row r="5" spans="1:2" x14ac:dyDescent="0.35">
      <c r="A5" t="s">
        <v>2</v>
      </c>
      <c r="B5">
        <v>20843.47743464322</v>
      </c>
    </row>
    <row r="6" spans="1:2" x14ac:dyDescent="0.35">
      <c r="A6" t="s">
        <v>161</v>
      </c>
      <c r="B6">
        <v>9425.7897870826891</v>
      </c>
    </row>
    <row r="8" spans="1:2" x14ac:dyDescent="0.35">
      <c r="A8" t="s">
        <v>162</v>
      </c>
    </row>
    <row r="9" spans="1:2" x14ac:dyDescent="0.35">
      <c r="A9" t="s">
        <v>163</v>
      </c>
      <c r="B9">
        <f>B5-B6</f>
        <v>11417.687647560531</v>
      </c>
    </row>
    <row r="10" spans="1:2" x14ac:dyDescent="0.35">
      <c r="A10" t="s">
        <v>164</v>
      </c>
      <c r="B10">
        <f>B9*(1-B2/100)</f>
        <v>10275.918882804479</v>
      </c>
    </row>
    <row r="11" spans="1:2" x14ac:dyDescent="0.35">
      <c r="A11" t="s">
        <v>165</v>
      </c>
      <c r="B11">
        <f>B5-B10</f>
        <v>10567.558551838742</v>
      </c>
    </row>
    <row r="12" spans="1:2" x14ac:dyDescent="0.35">
      <c r="A12" t="s">
        <v>166</v>
      </c>
      <c r="B12">
        <f>B11/B5*100</f>
        <v>50.699594561293161</v>
      </c>
    </row>
    <row r="14" spans="1:2" x14ac:dyDescent="0.35">
      <c r="A14" t="s">
        <v>167</v>
      </c>
      <c r="B14" t="s">
        <v>168</v>
      </c>
    </row>
    <row r="15" spans="1:2" x14ac:dyDescent="0.35">
      <c r="A15" t="s">
        <v>169</v>
      </c>
      <c r="B15" t="str">
        <f>IF(B12&gt;=40,"✓ OUI","✗ NON")</f>
        <v>✓ OUI</v>
      </c>
    </row>
    <row r="16" spans="1:2" x14ac:dyDescent="0.35">
      <c r="A16" t="s">
        <v>170</v>
      </c>
      <c r="B16" t="str">
        <f>IF(B12&gt;=50,"✓ OUI","✗ NON")</f>
        <v>✓ OUI</v>
      </c>
    </row>
    <row r="17" spans="1:2" x14ac:dyDescent="0.35">
      <c r="A17" t="s">
        <v>171</v>
      </c>
      <c r="B17" t="str">
        <f>IF(B12&gt;=60,"✓ OUI","✗ NON")</f>
        <v>✗ NON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Meilleures rénovations</vt:lpstr>
      <vt:lpstr>Calculateur Sobriété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Ibn Seddik (Student at CentraleSupelec)</cp:lastModifiedBy>
  <dcterms:created xsi:type="dcterms:W3CDTF">2026-03-31T13:57:15Z</dcterms:created>
  <dcterms:modified xsi:type="dcterms:W3CDTF">2026-03-31T13:57:58Z</dcterms:modified>
</cp:coreProperties>
</file>